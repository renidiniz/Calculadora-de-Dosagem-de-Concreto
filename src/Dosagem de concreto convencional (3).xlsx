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codeName="EstaPastaDeTrabalho" checkCompatibility="1"/>
  <mc:AlternateContent xmlns:mc="http://schemas.openxmlformats.org/markup-compatibility/2006">
    <mc:Choice Requires="x15">
      <x15ac:absPath xmlns:x15ac="http://schemas.microsoft.com/office/spreadsheetml/2010/11/ac" url="/Users/bernardotutikian/Desktop/Unisinos/Curso Online Mayko/Curso de Concreto/Concreto/Módulo 2/"/>
    </mc:Choice>
  </mc:AlternateContent>
  <xr:revisionPtr revIDLastSave="0" documentId="13_ncr:1_{23A6229F-DC8E-7941-AA9C-81C1FBBE3617}" xr6:coauthVersionLast="47" xr6:coauthVersionMax="47" xr10:uidLastSave="{00000000-0000-0000-0000-000000000000}"/>
  <bookViews>
    <workbookView xWindow="0" yWindow="0" windowWidth="28800" windowHeight="18000" tabRatio="1000" activeTab="1" xr2:uid="{00000000-000D-0000-FFFF-FFFF00000000}"/>
  </bookViews>
  <sheets>
    <sheet name="MENU" sheetId="4" r:id="rId1"/>
    <sheet name="1 Areia" sheetId="14" r:id="rId2"/>
    <sheet name="Mescla 2 Areias" sheetId="3" r:id="rId3"/>
    <sheet name="Mescla 3 Areias" sheetId="6" r:id="rId4"/>
    <sheet name="Granulometeria 1 Brita" sheetId="18" r:id="rId5"/>
    <sheet name="Granulometria 2 Britas" sheetId="19" r:id="rId6"/>
    <sheet name="Empacotamento" sheetId="5" r:id="rId7"/>
    <sheet name="Traços" sheetId="7" r:id="rId8"/>
    <sheet name="3 traços" sheetId="8" r:id="rId9"/>
    <sheet name="Curvas dosagem (3t)" sheetId="9" r:id="rId10"/>
    <sheet name="Cálculo dos traços (3t)" sheetId="10" r:id="rId11"/>
    <sheet name="4 traços" sheetId="11" r:id="rId12"/>
    <sheet name="Curvas dosagem (4t)" sheetId="12" r:id="rId13"/>
    <sheet name="Cálculo dos traços (4t)" sheetId="13" r:id="rId14"/>
  </sheets>
  <definedNames>
    <definedName name="_B6" localSheetId="2">#N/A</definedName>
    <definedName name="_B6" localSheetId="3">#N/A</definedName>
    <definedName name="_B6">#REF!</definedName>
    <definedName name="_B7" localSheetId="2">#N/A</definedName>
    <definedName name="_B7" localSheetId="3">#N/A</definedName>
    <definedName name="_B7">#REF!</definedName>
    <definedName name="_C10" localSheetId="2">#N/A</definedName>
    <definedName name="_C10" localSheetId="3">#N/A</definedName>
    <definedName name="_C10">#REF!</definedName>
    <definedName name="_C11" localSheetId="2">#N/A</definedName>
    <definedName name="_C11" localSheetId="3">#N/A</definedName>
    <definedName name="_C11">#REF!</definedName>
    <definedName name="_C12" localSheetId="2">#N/A</definedName>
    <definedName name="_C12" localSheetId="3">#N/A</definedName>
    <definedName name="_C12">#REF!</definedName>
    <definedName name="_C8" localSheetId="2">#N/A</definedName>
    <definedName name="_C8" localSheetId="3">#N/A</definedName>
    <definedName name="_C8">#REF!</definedName>
    <definedName name="_C9" localSheetId="2">#N/A</definedName>
    <definedName name="_C9" localSheetId="3">#N/A</definedName>
    <definedName name="_C9">#REF!</definedName>
    <definedName name="_D10" localSheetId="2">#N/A</definedName>
    <definedName name="_D10" localSheetId="3">#N/A</definedName>
    <definedName name="_D10">#REF!</definedName>
    <definedName name="_D11" localSheetId="2">#N/A</definedName>
    <definedName name="_D11" localSheetId="3">#N/A</definedName>
    <definedName name="_D11">#REF!</definedName>
    <definedName name="_D12" localSheetId="2">#N/A</definedName>
    <definedName name="_D12" localSheetId="3">#N/A</definedName>
    <definedName name="_D12">#REF!</definedName>
    <definedName name="_D13" localSheetId="2">#N/A</definedName>
    <definedName name="_D13" localSheetId="3">#N/A</definedName>
    <definedName name="_D13">#REF!</definedName>
    <definedName name="_D14" localSheetId="2">#N/A</definedName>
    <definedName name="_D14" localSheetId="3">#N/A</definedName>
    <definedName name="_D14">#REF!</definedName>
    <definedName name="_D15" localSheetId="2">#N/A</definedName>
    <definedName name="_D15" localSheetId="3">#N/A</definedName>
    <definedName name="_D15">#REF!</definedName>
    <definedName name="_D16" localSheetId="2">#N/A</definedName>
    <definedName name="_D16" localSheetId="3">#N/A</definedName>
    <definedName name="_D16">#REF!</definedName>
    <definedName name="_D17" localSheetId="2">#N/A</definedName>
    <definedName name="_D17" localSheetId="3">#N/A</definedName>
    <definedName name="_D17">#REF!</definedName>
    <definedName name="_D18" localSheetId="2">#N/A</definedName>
    <definedName name="_D18" localSheetId="3">#N/A</definedName>
    <definedName name="_D18">#REF!</definedName>
    <definedName name="_xlnm.Print_Area" localSheetId="8">'3 traços'!$A$2:$M$28</definedName>
    <definedName name="_xlnm.Print_Area" localSheetId="11">'4 traços'!$A$2:$M$35</definedName>
    <definedName name="_xlnm.Print_Area" localSheetId="10">'Cálculo dos traços (3t)'!$A$2:$L$25</definedName>
    <definedName name="_xlnm.Print_Area" localSheetId="13">'Cálculo dos traços (4t)'!$A$2:$L$25</definedName>
    <definedName name="_xlnm.Print_Area" localSheetId="9">'Curvas dosagem (3t)'!$A$2:$S$68</definedName>
    <definedName name="_xlnm.Print_Area" localSheetId="12">'Curvas dosagem (4t)'!$A$2:$S$69</definedName>
    <definedName name="_xlnm.Print_Area" localSheetId="6">Empacotamento!$A$2:$Z$53</definedName>
    <definedName name="_xlnm.Print_Area" localSheetId="2">'Mescla 2 Areias'!$A$2:$R$43</definedName>
    <definedName name="_xlnm.Print_Area" localSheetId="3">'Mescla 3 Areias'!$A$2:$X$43</definedName>
    <definedName name="_xlnm.Print_Area" localSheetId="7">Traços!$A$1:$W$28</definedName>
    <definedName name="formula">#N/A</definedName>
    <definedName name="iii">#REF!</definedName>
    <definedName name="PAL">#N/A</definedName>
    <definedName name="Paver">#N/A</definedName>
    <definedName name="PLANILHA">#REF!</definedName>
    <definedName name="tubo">#REF!</definedName>
    <definedName name="Z_9BBF80E1_C275_11D7_A66A_0040A7000FC9_.wvu.PrintArea" localSheetId="2" hidden="1">'Mescla 2 Areias'!$A$2:$Q$42</definedName>
    <definedName name="Z_9BBF80E1_C275_11D7_A66A_0040A7000FC9_.wvu.PrintArea" localSheetId="3" hidden="1">'Mescla 3 Areias'!$A$2:$W$42</definedName>
  </definedNames>
  <calcPr calcId="191029" concurrentCalc="0"/>
  <customWorkbookViews>
    <customWorkbookView name="idercio - Modo de exibição pessoal" guid="{00D7EF81-C276-11D7-A66A-0040A7000FC9}" mergeInterval="0" personalView="1" maximized="1" windowWidth="796" windowHeight="429" tabRatio="1000" activeSheetId="7" showStatus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9" l="1"/>
  <c r="X28" i="19"/>
  <c r="W28" i="19"/>
  <c r="V28" i="19"/>
  <c r="U28" i="19"/>
  <c r="T28" i="19"/>
  <c r="S28" i="19"/>
  <c r="R28" i="19"/>
  <c r="Q28" i="19"/>
  <c r="P28" i="19"/>
  <c r="O28" i="19"/>
  <c r="I27" i="19"/>
  <c r="H27" i="19"/>
  <c r="C27" i="19"/>
  <c r="B27" i="19"/>
  <c r="J26" i="19"/>
  <c r="D26" i="19"/>
  <c r="J25" i="19"/>
  <c r="D25" i="19"/>
  <c r="J24" i="19"/>
  <c r="D24" i="19"/>
  <c r="J23" i="19"/>
  <c r="D23" i="19"/>
  <c r="J22" i="19"/>
  <c r="D22" i="19"/>
  <c r="J21" i="19"/>
  <c r="D21" i="19"/>
  <c r="J20" i="19"/>
  <c r="D20" i="19"/>
  <c r="J19" i="19"/>
  <c r="D19" i="19"/>
  <c r="J18" i="19"/>
  <c r="D18" i="19"/>
  <c r="J17" i="19"/>
  <c r="D17" i="19"/>
  <c r="J16" i="19"/>
  <c r="D16" i="19"/>
  <c r="J15" i="19"/>
  <c r="D15" i="19"/>
  <c r="J14" i="19"/>
  <c r="D14" i="19"/>
  <c r="D27" i="19"/>
  <c r="J13" i="19"/>
  <c r="D13" i="19"/>
  <c r="J12" i="19"/>
  <c r="D12" i="19"/>
  <c r="J11" i="19"/>
  <c r="D11" i="19"/>
  <c r="J10" i="19"/>
  <c r="D10" i="19"/>
  <c r="J9" i="19"/>
  <c r="D9" i="19"/>
  <c r="P27" i="18"/>
  <c r="O27" i="18"/>
  <c r="N27" i="18"/>
  <c r="M27" i="18"/>
  <c r="L27" i="18"/>
  <c r="K27" i="18"/>
  <c r="J27" i="18"/>
  <c r="I27" i="18"/>
  <c r="H27" i="18"/>
  <c r="G27" i="18"/>
  <c r="C26" i="18"/>
  <c r="B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26" i="18"/>
  <c r="E9" i="18"/>
  <c r="E11" i="18"/>
  <c r="E10" i="18"/>
  <c r="E18" i="19"/>
  <c r="K22" i="19"/>
  <c r="K26" i="19"/>
  <c r="E22" i="19"/>
  <c r="K18" i="19"/>
  <c r="E14" i="19"/>
  <c r="K10" i="19"/>
  <c r="E25" i="19"/>
  <c r="K25" i="19"/>
  <c r="E13" i="19"/>
  <c r="K9" i="19"/>
  <c r="K21" i="19"/>
  <c r="E12" i="19"/>
  <c r="E17" i="19"/>
  <c r="K13" i="19"/>
  <c r="E9" i="19"/>
  <c r="E23" i="19"/>
  <c r="K19" i="19"/>
  <c r="E15" i="19"/>
  <c r="K11" i="19"/>
  <c r="E11" i="19"/>
  <c r="E19" i="19"/>
  <c r="K23" i="19"/>
  <c r="E20" i="19"/>
  <c r="K12" i="19"/>
  <c r="K24" i="19"/>
  <c r="E21" i="19"/>
  <c r="E10" i="19"/>
  <c r="E26" i="19"/>
  <c r="K14" i="19"/>
  <c r="K15" i="19"/>
  <c r="E16" i="19"/>
  <c r="E24" i="19"/>
  <c r="K16" i="19"/>
  <c r="K20" i="19"/>
  <c r="K17" i="19"/>
  <c r="J27" i="19"/>
  <c r="E23" i="18"/>
  <c r="E15" i="18"/>
  <c r="E16" i="18"/>
  <c r="E24" i="18"/>
  <c r="E20" i="18"/>
  <c r="E13" i="18"/>
  <c r="S18" i="6"/>
  <c r="A25" i="10"/>
  <c r="A24" i="10"/>
  <c r="A23" i="10"/>
  <c r="A22" i="10"/>
  <c r="A21" i="10"/>
  <c r="A20" i="10"/>
  <c r="A19" i="10"/>
  <c r="X17" i="6"/>
  <c r="W17" i="6"/>
  <c r="V17" i="6"/>
  <c r="U17" i="6"/>
  <c r="J17" i="14"/>
  <c r="I17" i="14"/>
  <c r="H17" i="14"/>
  <c r="G17" i="14"/>
  <c r="C16" i="14"/>
  <c r="B16" i="14"/>
  <c r="D15" i="14"/>
  <c r="D14" i="14"/>
  <c r="D13" i="14"/>
  <c r="D12" i="14"/>
  <c r="D11" i="14"/>
  <c r="D10" i="14"/>
  <c r="D9" i="14"/>
  <c r="D8" i="14"/>
  <c r="D7" i="14"/>
  <c r="D6" i="14"/>
  <c r="R17" i="3"/>
  <c r="Q17" i="3"/>
  <c r="P17" i="3"/>
  <c r="O17" i="3"/>
  <c r="U2" i="5"/>
  <c r="U3" i="5"/>
  <c r="C8" i="5"/>
  <c r="E17" i="18"/>
  <c r="E8" i="18"/>
  <c r="E12" i="18"/>
  <c r="E22" i="18"/>
  <c r="E19" i="18"/>
  <c r="E14" i="18"/>
  <c r="E18" i="18"/>
  <c r="E21" i="18"/>
  <c r="E25" i="18"/>
  <c r="E26" i="18"/>
  <c r="E27" i="19"/>
  <c r="F9" i="19"/>
  <c r="L9" i="19"/>
  <c r="K27" i="19"/>
  <c r="F8" i="18"/>
  <c r="D16" i="14"/>
  <c r="E14" i="14"/>
  <c r="I5" i="5"/>
  <c r="I6" i="5"/>
  <c r="I7" i="5"/>
  <c r="I8" i="5"/>
  <c r="F53" i="5"/>
  <c r="F68" i="5"/>
  <c r="F83" i="5"/>
  <c r="F82" i="5"/>
  <c r="F81" i="5"/>
  <c r="F80" i="5"/>
  <c r="F79" i="5"/>
  <c r="F78" i="5"/>
  <c r="F8" i="5"/>
  <c r="F7" i="5"/>
  <c r="F6" i="5"/>
  <c r="F5" i="5"/>
  <c r="A71" i="5"/>
  <c r="A56" i="5"/>
  <c r="S4" i="5"/>
  <c r="Z2" i="5"/>
  <c r="Y2" i="5"/>
  <c r="X2" i="5"/>
  <c r="W2" i="5"/>
  <c r="V2" i="5"/>
  <c r="B71" i="5"/>
  <c r="B56" i="5"/>
  <c r="A41" i="5"/>
  <c r="B41" i="5"/>
  <c r="A26" i="5"/>
  <c r="B26" i="5"/>
  <c r="B11" i="5"/>
  <c r="A11" i="5"/>
  <c r="G83" i="5"/>
  <c r="E83" i="5"/>
  <c r="D83" i="5"/>
  <c r="G82" i="5"/>
  <c r="E82" i="5"/>
  <c r="D82" i="5"/>
  <c r="G81" i="5"/>
  <c r="E81" i="5"/>
  <c r="D81" i="5"/>
  <c r="D80" i="5"/>
  <c r="E80" i="5"/>
  <c r="G79" i="5"/>
  <c r="E79" i="5"/>
  <c r="D79" i="5"/>
  <c r="G78" i="5"/>
  <c r="E78" i="5"/>
  <c r="D78" i="5"/>
  <c r="D77" i="5"/>
  <c r="E77" i="5"/>
  <c r="D76" i="5"/>
  <c r="D75" i="5"/>
  <c r="D74" i="5"/>
  <c r="D73" i="5"/>
  <c r="E68" i="5"/>
  <c r="G68" i="5"/>
  <c r="D68" i="5"/>
  <c r="D67" i="5"/>
  <c r="D66" i="5"/>
  <c r="D65" i="5"/>
  <c r="D64" i="5"/>
  <c r="D63" i="5"/>
  <c r="D62" i="5"/>
  <c r="D61" i="5"/>
  <c r="D60" i="5"/>
  <c r="D59" i="5"/>
  <c r="D58" i="5"/>
  <c r="D53" i="5"/>
  <c r="E53" i="5"/>
  <c r="D52" i="5"/>
  <c r="D51" i="5"/>
  <c r="D50" i="5"/>
  <c r="D49" i="5"/>
  <c r="D48" i="5"/>
  <c r="D47" i="5"/>
  <c r="D46" i="5"/>
  <c r="D45" i="5"/>
  <c r="D44" i="5"/>
  <c r="D43" i="5"/>
  <c r="A70" i="5"/>
  <c r="A55" i="5"/>
  <c r="B53" i="5"/>
  <c r="B52" i="5"/>
  <c r="B51" i="5"/>
  <c r="B50" i="5"/>
  <c r="B49" i="5"/>
  <c r="B48" i="5"/>
  <c r="B47" i="5"/>
  <c r="B46" i="5"/>
  <c r="B45" i="5"/>
  <c r="B44" i="5"/>
  <c r="B43" i="5"/>
  <c r="D42" i="5"/>
  <c r="B42" i="5"/>
  <c r="B68" i="5"/>
  <c r="B67" i="5"/>
  <c r="B66" i="5"/>
  <c r="B65" i="5"/>
  <c r="B64" i="5"/>
  <c r="B63" i="5"/>
  <c r="B62" i="5"/>
  <c r="B61" i="5"/>
  <c r="B60" i="5"/>
  <c r="B59" i="5"/>
  <c r="B58" i="5"/>
  <c r="D57" i="5"/>
  <c r="B57" i="5"/>
  <c r="B83" i="5"/>
  <c r="B82" i="5"/>
  <c r="B81" i="5"/>
  <c r="B80" i="5"/>
  <c r="B79" i="5"/>
  <c r="B78" i="5"/>
  <c r="B77" i="5"/>
  <c r="B76" i="5"/>
  <c r="B75" i="5"/>
  <c r="B74" i="5"/>
  <c r="B73" i="5"/>
  <c r="D72" i="5"/>
  <c r="B72" i="5"/>
  <c r="F4" i="5"/>
  <c r="I4" i="5"/>
  <c r="A40" i="5"/>
  <c r="A25" i="5"/>
  <c r="A10" i="5"/>
  <c r="A25" i="13"/>
  <c r="A24" i="13"/>
  <c r="A23" i="13"/>
  <c r="A22" i="13"/>
  <c r="A21" i="13"/>
  <c r="A20" i="13"/>
  <c r="I8" i="12"/>
  <c r="I7" i="12"/>
  <c r="I6" i="12"/>
  <c r="I5" i="12"/>
  <c r="B8" i="11"/>
  <c r="M15" i="11"/>
  <c r="B7" i="11"/>
  <c r="B6" i="11"/>
  <c r="B5" i="11"/>
  <c r="C25" i="12"/>
  <c r="A25" i="12"/>
  <c r="C23" i="12"/>
  <c r="A23" i="12"/>
  <c r="C21" i="12"/>
  <c r="A21" i="12"/>
  <c r="C19" i="12"/>
  <c r="A19" i="12"/>
  <c r="O8" i="12"/>
  <c r="N8" i="12"/>
  <c r="O7" i="12"/>
  <c r="N7" i="12"/>
  <c r="O6" i="12"/>
  <c r="N6" i="12"/>
  <c r="O5" i="12"/>
  <c r="N5" i="12"/>
  <c r="F35" i="11"/>
  <c r="F33" i="11"/>
  <c r="B32" i="11"/>
  <c r="F30" i="11"/>
  <c r="F28" i="11"/>
  <c r="B27" i="11"/>
  <c r="F25" i="11"/>
  <c r="F23" i="11"/>
  <c r="B22" i="11"/>
  <c r="F20" i="11"/>
  <c r="F18" i="11"/>
  <c r="B17" i="11"/>
  <c r="I7" i="9"/>
  <c r="I6" i="9"/>
  <c r="I5" i="9"/>
  <c r="C22" i="9"/>
  <c r="C21" i="9"/>
  <c r="A21" i="9"/>
  <c r="C20" i="9"/>
  <c r="A20" i="9"/>
  <c r="C18" i="9"/>
  <c r="A18" i="9"/>
  <c r="O7" i="9"/>
  <c r="N7" i="9"/>
  <c r="O6" i="9"/>
  <c r="N6" i="9"/>
  <c r="O5" i="9"/>
  <c r="N5" i="9"/>
  <c r="B7" i="8"/>
  <c r="K7" i="9"/>
  <c r="B6" i="8"/>
  <c r="M12" i="8"/>
  <c r="B5" i="8"/>
  <c r="C15" i="8"/>
  <c r="F28" i="8"/>
  <c r="F26" i="8"/>
  <c r="B25" i="8"/>
  <c r="F23" i="8"/>
  <c r="F21" i="8"/>
  <c r="B20" i="8"/>
  <c r="F18" i="8"/>
  <c r="F16" i="8"/>
  <c r="B15" i="8"/>
  <c r="S28" i="7"/>
  <c r="M28" i="7"/>
  <c r="G28" i="7"/>
  <c r="A28" i="7"/>
  <c r="S27" i="7"/>
  <c r="M27" i="7"/>
  <c r="G27" i="7"/>
  <c r="A27" i="7"/>
  <c r="S26" i="7"/>
  <c r="M26" i="7"/>
  <c r="G26" i="7"/>
  <c r="A26" i="7"/>
  <c r="S25" i="7"/>
  <c r="M25" i="7"/>
  <c r="G25" i="7"/>
  <c r="A25" i="7"/>
  <c r="S24" i="7"/>
  <c r="M24" i="7"/>
  <c r="G24" i="7"/>
  <c r="A24" i="7"/>
  <c r="S23" i="7"/>
  <c r="M23" i="7"/>
  <c r="G23" i="7"/>
  <c r="A23" i="7"/>
  <c r="S21" i="7"/>
  <c r="M21" i="7"/>
  <c r="G21" i="7"/>
  <c r="A21" i="7"/>
  <c r="S19" i="7"/>
  <c r="M19" i="7"/>
  <c r="G19" i="7"/>
  <c r="A19" i="7"/>
  <c r="S18" i="7"/>
  <c r="M18" i="7"/>
  <c r="G18" i="7"/>
  <c r="A18" i="7"/>
  <c r="S17" i="7"/>
  <c r="M17" i="7"/>
  <c r="G17" i="7"/>
  <c r="A17" i="7"/>
  <c r="S16" i="7"/>
  <c r="M16" i="7"/>
  <c r="G16" i="7"/>
  <c r="A16" i="7"/>
  <c r="S15" i="7"/>
  <c r="M15" i="7"/>
  <c r="G15" i="7"/>
  <c r="A15" i="7"/>
  <c r="T14" i="7"/>
  <c r="S14" i="7"/>
  <c r="N14" i="7"/>
  <c r="N23" i="7"/>
  <c r="M14" i="7"/>
  <c r="H14" i="7"/>
  <c r="G14" i="7"/>
  <c r="B14" i="7"/>
  <c r="A14" i="7"/>
  <c r="S12" i="7"/>
  <c r="M12" i="7"/>
  <c r="G12" i="7"/>
  <c r="A12" i="7"/>
  <c r="U10" i="7"/>
  <c r="V10" i="7"/>
  <c r="O10" i="7"/>
  <c r="P10" i="7"/>
  <c r="I10" i="7"/>
  <c r="J10" i="7"/>
  <c r="C10" i="7"/>
  <c r="D10" i="7"/>
  <c r="U9" i="7"/>
  <c r="V9" i="7"/>
  <c r="O9" i="7"/>
  <c r="P9" i="7"/>
  <c r="I9" i="7"/>
  <c r="J9" i="7"/>
  <c r="C9" i="7"/>
  <c r="D9" i="7"/>
  <c r="U8" i="7"/>
  <c r="V8" i="7"/>
  <c r="O8" i="7"/>
  <c r="P8" i="7"/>
  <c r="I8" i="7"/>
  <c r="J8" i="7"/>
  <c r="C8" i="7"/>
  <c r="D8" i="7"/>
  <c r="U7" i="7"/>
  <c r="V7" i="7"/>
  <c r="O7" i="7"/>
  <c r="P7" i="7"/>
  <c r="I7" i="7"/>
  <c r="J7" i="7"/>
  <c r="C7" i="7"/>
  <c r="D7" i="7"/>
  <c r="U6" i="7"/>
  <c r="V6" i="7"/>
  <c r="O6" i="7"/>
  <c r="P6" i="7"/>
  <c r="I6" i="7"/>
  <c r="J6" i="7"/>
  <c r="C6" i="7"/>
  <c r="D6" i="7"/>
  <c r="U5" i="7"/>
  <c r="V5" i="7"/>
  <c r="O5" i="7"/>
  <c r="P5" i="7"/>
  <c r="I5" i="7"/>
  <c r="J5" i="7"/>
  <c r="C5" i="7"/>
  <c r="D5" i="7"/>
  <c r="S3" i="7"/>
  <c r="M3" i="7"/>
  <c r="G3" i="7"/>
  <c r="A3" i="7"/>
  <c r="T16" i="6"/>
  <c r="M18" i="3"/>
  <c r="O16" i="6"/>
  <c r="N16" i="6"/>
  <c r="P15" i="6"/>
  <c r="P14" i="6"/>
  <c r="P13" i="6"/>
  <c r="P12" i="6"/>
  <c r="P11" i="6"/>
  <c r="P10" i="6"/>
  <c r="P9" i="6"/>
  <c r="P8" i="6"/>
  <c r="P7" i="6"/>
  <c r="P6" i="6"/>
  <c r="L10" i="19"/>
  <c r="M9" i="19"/>
  <c r="F10" i="19"/>
  <c r="G9" i="19"/>
  <c r="N9" i="19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A22" i="9"/>
  <c r="V14" i="7"/>
  <c r="C14" i="7"/>
  <c r="C23" i="7"/>
  <c r="E8" i="14"/>
  <c r="E13" i="14"/>
  <c r="E9" i="14"/>
  <c r="E15" i="14"/>
  <c r="E11" i="14"/>
  <c r="E7" i="14"/>
  <c r="E10" i="14"/>
  <c r="E12" i="14"/>
  <c r="E6" i="14"/>
  <c r="K7" i="12"/>
  <c r="C32" i="11"/>
  <c r="M13" i="11"/>
  <c r="C22" i="11"/>
  <c r="G28" i="11"/>
  <c r="B14" i="11"/>
  <c r="K5" i="12"/>
  <c r="V3" i="5"/>
  <c r="W3" i="5"/>
  <c r="Z3" i="5"/>
  <c r="Y3" i="5"/>
  <c r="X3" i="5"/>
  <c r="G80" i="5"/>
  <c r="G53" i="5"/>
  <c r="K5" i="9"/>
  <c r="C14" i="11"/>
  <c r="O14" i="7"/>
  <c r="O23" i="7"/>
  <c r="G21" i="8"/>
  <c r="B12" i="8"/>
  <c r="C12" i="8"/>
  <c r="M6" i="9"/>
  <c r="P6" i="9"/>
  <c r="G23" i="11"/>
  <c r="B13" i="11"/>
  <c r="C13" i="11"/>
  <c r="P14" i="7"/>
  <c r="P15" i="7"/>
  <c r="G18" i="11"/>
  <c r="B12" i="11"/>
  <c r="C12" i="11"/>
  <c r="G33" i="11"/>
  <c r="B15" i="11"/>
  <c r="C15" i="11"/>
  <c r="K6" i="12"/>
  <c r="K8" i="12"/>
  <c r="C20" i="12"/>
  <c r="A20" i="12"/>
  <c r="C24" i="12"/>
  <c r="A24" i="12"/>
  <c r="B16" i="12"/>
  <c r="C22" i="12"/>
  <c r="A22" i="12"/>
  <c r="B15" i="12"/>
  <c r="C27" i="11"/>
  <c r="M12" i="11"/>
  <c r="M14" i="11"/>
  <c r="C17" i="11"/>
  <c r="K6" i="9"/>
  <c r="G16" i="8"/>
  <c r="B11" i="8"/>
  <c r="C11" i="8"/>
  <c r="B15" i="9"/>
  <c r="C20" i="8"/>
  <c r="G26" i="8"/>
  <c r="B13" i="8"/>
  <c r="C13" i="8"/>
  <c r="J13" i="8"/>
  <c r="B14" i="9"/>
  <c r="C19" i="9"/>
  <c r="A19" i="9"/>
  <c r="M13" i="8"/>
  <c r="C25" i="8"/>
  <c r="M11" i="8"/>
  <c r="V23" i="7"/>
  <c r="V15" i="7"/>
  <c r="I14" i="7"/>
  <c r="I23" i="7"/>
  <c r="H23" i="7"/>
  <c r="J14" i="7"/>
  <c r="U14" i="7"/>
  <c r="U23" i="7"/>
  <c r="D14" i="7"/>
  <c r="B23" i="7"/>
  <c r="T23" i="7"/>
  <c r="P16" i="6"/>
  <c r="L11" i="19"/>
  <c r="M10" i="19"/>
  <c r="F11" i="19"/>
  <c r="G10" i="19"/>
  <c r="N10" i="19"/>
  <c r="B27" i="18"/>
  <c r="B10" i="13"/>
  <c r="B9" i="13"/>
  <c r="B8" i="13"/>
  <c r="B7" i="13"/>
  <c r="B6" i="13"/>
  <c r="B5" i="13"/>
  <c r="B21" i="9"/>
  <c r="A41" i="9"/>
  <c r="E14" i="7"/>
  <c r="F6" i="14"/>
  <c r="E16" i="14"/>
  <c r="P23" i="7"/>
  <c r="Q14" i="7"/>
  <c r="M7" i="12"/>
  <c r="P7" i="12"/>
  <c r="J13" i="11"/>
  <c r="M8" i="12"/>
  <c r="P8" i="12"/>
  <c r="J15" i="11"/>
  <c r="B19" i="12"/>
  <c r="A40" i="12"/>
  <c r="K15" i="11"/>
  <c r="J14" i="11"/>
  <c r="B36" i="12"/>
  <c r="K13" i="11"/>
  <c r="K14" i="11"/>
  <c r="B35" i="9"/>
  <c r="J12" i="8"/>
  <c r="B34" i="9"/>
  <c r="K12" i="8"/>
  <c r="B37" i="12"/>
  <c r="K12" i="11"/>
  <c r="M5" i="12"/>
  <c r="P5" i="12"/>
  <c r="M6" i="12"/>
  <c r="P6" i="12"/>
  <c r="J12" i="11"/>
  <c r="B24" i="12"/>
  <c r="A45" i="12"/>
  <c r="B21" i="12"/>
  <c r="A42" i="12"/>
  <c r="B22" i="12"/>
  <c r="A43" i="12"/>
  <c r="B23" i="12"/>
  <c r="A44" i="12"/>
  <c r="B25" i="12"/>
  <c r="A46" i="12"/>
  <c r="B20" i="12"/>
  <c r="A41" i="12"/>
  <c r="B10" i="10"/>
  <c r="B7" i="10"/>
  <c r="B5" i="10"/>
  <c r="B8" i="10"/>
  <c r="B9" i="10"/>
  <c r="B6" i="10"/>
  <c r="J11" i="8"/>
  <c r="M5" i="9"/>
  <c r="P5" i="9"/>
  <c r="K13" i="8"/>
  <c r="M7" i="9"/>
  <c r="P7" i="9"/>
  <c r="K11" i="8"/>
  <c r="B18" i="9"/>
  <c r="A38" i="9"/>
  <c r="B20" i="9"/>
  <c r="A40" i="9"/>
  <c r="B19" i="9"/>
  <c r="A39" i="9"/>
  <c r="B22" i="9"/>
  <c r="A42" i="9"/>
  <c r="V24" i="7"/>
  <c r="T15" i="7"/>
  <c r="V16" i="7"/>
  <c r="P24" i="7"/>
  <c r="N15" i="7"/>
  <c r="P16" i="7"/>
  <c r="J23" i="7"/>
  <c r="J15" i="7"/>
  <c r="D23" i="7"/>
  <c r="D15" i="7"/>
  <c r="K14" i="7"/>
  <c r="W14" i="7"/>
  <c r="Q15" i="6"/>
  <c r="Q11" i="6"/>
  <c r="Q14" i="6"/>
  <c r="Q10" i="6"/>
  <c r="Q6" i="6"/>
  <c r="Q13" i="6"/>
  <c r="Q9" i="6"/>
  <c r="Q12" i="6"/>
  <c r="Q8" i="6"/>
  <c r="Q7" i="6"/>
  <c r="F12" i="19"/>
  <c r="G11" i="19"/>
  <c r="L12" i="19"/>
  <c r="M11" i="19"/>
  <c r="B41" i="9"/>
  <c r="B60" i="9"/>
  <c r="F7" i="14"/>
  <c r="F8" i="14"/>
  <c r="F9" i="14"/>
  <c r="F10" i="14"/>
  <c r="F11" i="14"/>
  <c r="F12" i="14"/>
  <c r="F13" i="14"/>
  <c r="F14" i="14"/>
  <c r="F15" i="14"/>
  <c r="C5" i="13"/>
  <c r="C6" i="13"/>
  <c r="C8" i="13"/>
  <c r="C10" i="13"/>
  <c r="C7" i="13"/>
  <c r="C9" i="13"/>
  <c r="B40" i="12"/>
  <c r="B62" i="12"/>
  <c r="B43" i="12"/>
  <c r="B65" i="12"/>
  <c r="B41" i="12"/>
  <c r="B63" i="12"/>
  <c r="B42" i="12"/>
  <c r="B64" i="12"/>
  <c r="B46" i="12"/>
  <c r="B68" i="12"/>
  <c r="B45" i="12"/>
  <c r="B67" i="12"/>
  <c r="B44" i="12"/>
  <c r="B66" i="12"/>
  <c r="B39" i="9"/>
  <c r="B58" i="9"/>
  <c r="B38" i="9"/>
  <c r="B57" i="9"/>
  <c r="C10" i="10"/>
  <c r="B42" i="9"/>
  <c r="B61" i="9"/>
  <c r="C8" i="10"/>
  <c r="C5" i="10"/>
  <c r="B40" i="9"/>
  <c r="B59" i="9"/>
  <c r="C6" i="10"/>
  <c r="B59" i="12"/>
  <c r="B58" i="12"/>
  <c r="C9" i="10"/>
  <c r="C7" i="10"/>
  <c r="B53" i="9"/>
  <c r="B54" i="9"/>
  <c r="J24" i="7"/>
  <c r="J16" i="7"/>
  <c r="H15" i="7"/>
  <c r="D24" i="7"/>
  <c r="D16" i="7"/>
  <c r="B15" i="7"/>
  <c r="T24" i="7"/>
  <c r="U15" i="7"/>
  <c r="U24" i="7"/>
  <c r="V25" i="7"/>
  <c r="V17" i="7"/>
  <c r="T16" i="7"/>
  <c r="P25" i="7"/>
  <c r="N16" i="7"/>
  <c r="P17" i="7"/>
  <c r="N24" i="7"/>
  <c r="O15" i="7"/>
  <c r="O24" i="7"/>
  <c r="I16" i="6"/>
  <c r="H16" i="6"/>
  <c r="C16" i="6"/>
  <c r="B16" i="6"/>
  <c r="J15" i="6"/>
  <c r="D15" i="6"/>
  <c r="J14" i="6"/>
  <c r="D14" i="6"/>
  <c r="J13" i="6"/>
  <c r="D13" i="6"/>
  <c r="J12" i="6"/>
  <c r="D12" i="6"/>
  <c r="J11" i="6"/>
  <c r="D11" i="6"/>
  <c r="J10" i="6"/>
  <c r="D10" i="6"/>
  <c r="J9" i="6"/>
  <c r="D9" i="6"/>
  <c r="J8" i="6"/>
  <c r="D8" i="6"/>
  <c r="J7" i="6"/>
  <c r="D7" i="6"/>
  <c r="J6" i="6"/>
  <c r="D6" i="6"/>
  <c r="F38" i="5"/>
  <c r="D38" i="5"/>
  <c r="E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F23" i="5"/>
  <c r="D23" i="5"/>
  <c r="E23" i="5"/>
  <c r="B23" i="5"/>
  <c r="G22" i="5"/>
  <c r="F22" i="5"/>
  <c r="E22" i="5"/>
  <c r="D22" i="5"/>
  <c r="B22" i="5"/>
  <c r="G21" i="5"/>
  <c r="F21" i="5"/>
  <c r="E21" i="5"/>
  <c r="D21" i="5"/>
  <c r="B21" i="5"/>
  <c r="G20" i="5"/>
  <c r="F20" i="5"/>
  <c r="E20" i="5"/>
  <c r="D20" i="5"/>
  <c r="B20" i="5"/>
  <c r="D19" i="5"/>
  <c r="B19" i="5"/>
  <c r="F19" i="5"/>
  <c r="D18" i="5"/>
  <c r="B18" i="5"/>
  <c r="F18" i="5"/>
  <c r="D17" i="5"/>
  <c r="B17" i="5"/>
  <c r="F17" i="5"/>
  <c r="D16" i="5"/>
  <c r="B16" i="5"/>
  <c r="F16" i="5"/>
  <c r="D15" i="5"/>
  <c r="B15" i="5"/>
  <c r="F15" i="5"/>
  <c r="D14" i="5"/>
  <c r="B14" i="5"/>
  <c r="F14" i="5"/>
  <c r="D13" i="5"/>
  <c r="B13" i="5"/>
  <c r="F13" i="5"/>
  <c r="D12" i="5"/>
  <c r="B12" i="5"/>
  <c r="F12" i="5"/>
  <c r="D6" i="3"/>
  <c r="D7" i="3"/>
  <c r="D8" i="3"/>
  <c r="D9" i="3"/>
  <c r="D10" i="3"/>
  <c r="D11" i="3"/>
  <c r="D12" i="3"/>
  <c r="D13" i="3"/>
  <c r="D14" i="3"/>
  <c r="D15" i="3"/>
  <c r="J6" i="3"/>
  <c r="J7" i="3"/>
  <c r="J8" i="3"/>
  <c r="J9" i="3"/>
  <c r="J10" i="3"/>
  <c r="J11" i="3"/>
  <c r="J12" i="3"/>
  <c r="J13" i="3"/>
  <c r="J14" i="3"/>
  <c r="J15" i="3"/>
  <c r="I16" i="3"/>
  <c r="H16" i="3"/>
  <c r="C16" i="3"/>
  <c r="B16" i="3"/>
  <c r="N16" i="3"/>
  <c r="N11" i="19"/>
  <c r="L13" i="19"/>
  <c r="M12" i="19"/>
  <c r="F13" i="19"/>
  <c r="G12" i="19"/>
  <c r="W15" i="7"/>
  <c r="D16" i="3"/>
  <c r="E14" i="3"/>
  <c r="B17" i="14"/>
  <c r="Q15" i="7"/>
  <c r="D10" i="13"/>
  <c r="D6" i="13"/>
  <c r="D9" i="13"/>
  <c r="D5" i="13"/>
  <c r="D8" i="13"/>
  <c r="D7" i="13"/>
  <c r="A65" i="12"/>
  <c r="E31" i="5"/>
  <c r="E42" i="5"/>
  <c r="E72" i="5"/>
  <c r="E49" i="5"/>
  <c r="E62" i="5"/>
  <c r="E46" i="5"/>
  <c r="E61" i="5"/>
  <c r="E76" i="5"/>
  <c r="E45" i="5"/>
  <c r="E67" i="5"/>
  <c r="E63" i="5"/>
  <c r="E73" i="5"/>
  <c r="E75" i="5"/>
  <c r="E44" i="5"/>
  <c r="E43" i="5"/>
  <c r="E51" i="5"/>
  <c r="E64" i="5"/>
  <c r="E48" i="5"/>
  <c r="E65" i="5"/>
  <c r="E57" i="5"/>
  <c r="E50" i="5"/>
  <c r="E58" i="5"/>
  <c r="E66" i="5"/>
  <c r="E52" i="5"/>
  <c r="E74" i="5"/>
  <c r="E47" i="5"/>
  <c r="E60" i="5"/>
  <c r="E59" i="5"/>
  <c r="G38" i="5"/>
  <c r="G23" i="5"/>
  <c r="E12" i="3"/>
  <c r="E8" i="3"/>
  <c r="A64" i="12"/>
  <c r="A62" i="12"/>
  <c r="A63" i="12"/>
  <c r="A68" i="12"/>
  <c r="A66" i="12"/>
  <c r="A67" i="12"/>
  <c r="A60" i="9"/>
  <c r="D5" i="10"/>
  <c r="D10" i="10"/>
  <c r="D6" i="10"/>
  <c r="D7" i="10"/>
  <c r="D8" i="10"/>
  <c r="D9" i="10"/>
  <c r="A61" i="9"/>
  <c r="A58" i="9"/>
  <c r="A57" i="9"/>
  <c r="A59" i="9"/>
  <c r="P26" i="7"/>
  <c r="N17" i="7"/>
  <c r="P18" i="7"/>
  <c r="V26" i="7"/>
  <c r="T17" i="7"/>
  <c r="V18" i="7"/>
  <c r="I15" i="7"/>
  <c r="I24" i="7"/>
  <c r="H24" i="7"/>
  <c r="N25" i="7"/>
  <c r="O16" i="7"/>
  <c r="O25" i="7"/>
  <c r="B24" i="7"/>
  <c r="C15" i="7"/>
  <c r="C24" i="7"/>
  <c r="J25" i="7"/>
  <c r="J17" i="7"/>
  <c r="H16" i="7"/>
  <c r="T25" i="7"/>
  <c r="U16" i="7"/>
  <c r="U25" i="7"/>
  <c r="D25" i="7"/>
  <c r="D17" i="7"/>
  <c r="B16" i="7"/>
  <c r="D16" i="6"/>
  <c r="E14" i="6"/>
  <c r="J16" i="6"/>
  <c r="K11" i="6"/>
  <c r="E9" i="6"/>
  <c r="J16" i="3"/>
  <c r="K14" i="3"/>
  <c r="E10" i="3"/>
  <c r="E7" i="3"/>
  <c r="E8" i="6"/>
  <c r="E12" i="5"/>
  <c r="G12" i="5"/>
  <c r="E14" i="5"/>
  <c r="G14" i="5"/>
  <c r="E16" i="5"/>
  <c r="G16" i="5"/>
  <c r="E18" i="5"/>
  <c r="G18" i="5"/>
  <c r="E33" i="5"/>
  <c r="E35" i="5"/>
  <c r="E37" i="5"/>
  <c r="E13" i="5"/>
  <c r="G13" i="5"/>
  <c r="E15" i="5"/>
  <c r="G15" i="5"/>
  <c r="E17" i="5"/>
  <c r="G17" i="5"/>
  <c r="E19" i="5"/>
  <c r="G19" i="5"/>
  <c r="E28" i="5"/>
  <c r="E30" i="5"/>
  <c r="E32" i="5"/>
  <c r="E34" i="5"/>
  <c r="E36" i="5"/>
  <c r="E27" i="5"/>
  <c r="E29" i="5"/>
  <c r="E10" i="6"/>
  <c r="E9" i="3"/>
  <c r="E7" i="6"/>
  <c r="E13" i="3"/>
  <c r="E11" i="6"/>
  <c r="N12" i="19"/>
  <c r="K10" i="6"/>
  <c r="E13" i="6"/>
  <c r="E6" i="6"/>
  <c r="E12" i="6"/>
  <c r="E15" i="6"/>
  <c r="E16" i="6"/>
  <c r="K6" i="6"/>
  <c r="E6" i="3"/>
  <c r="E11" i="3"/>
  <c r="K7" i="6"/>
  <c r="K12" i="6"/>
  <c r="K15" i="6"/>
  <c r="K8" i="6"/>
  <c r="K14" i="6"/>
  <c r="E15" i="3"/>
  <c r="G13" i="19"/>
  <c r="F14" i="19"/>
  <c r="L14" i="19"/>
  <c r="M13" i="19"/>
  <c r="W16" i="7"/>
  <c r="L5" i="13"/>
  <c r="L20" i="13"/>
  <c r="K5" i="13"/>
  <c r="K20" i="13"/>
  <c r="D20" i="13"/>
  <c r="L7" i="13"/>
  <c r="L22" i="13"/>
  <c r="K7" i="13"/>
  <c r="K22" i="13"/>
  <c r="D22" i="13"/>
  <c r="D21" i="13"/>
  <c r="K6" i="13"/>
  <c r="K21" i="13"/>
  <c r="L6" i="13"/>
  <c r="L21" i="13"/>
  <c r="K9" i="13"/>
  <c r="K24" i="13"/>
  <c r="D24" i="13"/>
  <c r="L9" i="13"/>
  <c r="L24" i="13"/>
  <c r="D23" i="13"/>
  <c r="K8" i="13"/>
  <c r="K23" i="13"/>
  <c r="L8" i="13"/>
  <c r="L23" i="13"/>
  <c r="D25" i="13"/>
  <c r="K10" i="13"/>
  <c r="K25" i="13"/>
  <c r="L10" i="13"/>
  <c r="L25" i="13"/>
  <c r="K13" i="6"/>
  <c r="D23" i="10"/>
  <c r="K8" i="10"/>
  <c r="K23" i="10"/>
  <c r="L8" i="10"/>
  <c r="L23" i="10"/>
  <c r="K10" i="10"/>
  <c r="K25" i="10"/>
  <c r="L10" i="10"/>
  <c r="L25" i="10"/>
  <c r="D25" i="10"/>
  <c r="D20" i="10"/>
  <c r="L5" i="10"/>
  <c r="L20" i="10"/>
  <c r="K5" i="10"/>
  <c r="K20" i="10"/>
  <c r="D21" i="10"/>
  <c r="K6" i="10"/>
  <c r="K21" i="10"/>
  <c r="L6" i="10"/>
  <c r="L21" i="10"/>
  <c r="D24" i="10"/>
  <c r="K9" i="10"/>
  <c r="K24" i="10"/>
  <c r="L9" i="10"/>
  <c r="L24" i="10"/>
  <c r="K7" i="10"/>
  <c r="K22" i="10"/>
  <c r="D22" i="10"/>
  <c r="L7" i="10"/>
  <c r="L22" i="10"/>
  <c r="P27" i="7"/>
  <c r="N18" i="7"/>
  <c r="P19" i="7"/>
  <c r="B25" i="7"/>
  <c r="C16" i="7"/>
  <c r="C25" i="7"/>
  <c r="I16" i="7"/>
  <c r="I25" i="7"/>
  <c r="H25" i="7"/>
  <c r="E15" i="7"/>
  <c r="Q16" i="7"/>
  <c r="V27" i="7"/>
  <c r="V19" i="7"/>
  <c r="T18" i="7"/>
  <c r="N26" i="7"/>
  <c r="O17" i="7"/>
  <c r="O26" i="7"/>
  <c r="D26" i="7"/>
  <c r="D18" i="7"/>
  <c r="B17" i="7"/>
  <c r="J26" i="7"/>
  <c r="J18" i="7"/>
  <c r="H17" i="7"/>
  <c r="K15" i="7"/>
  <c r="T26" i="7"/>
  <c r="U17" i="7"/>
  <c r="U26" i="7"/>
  <c r="K9" i="6"/>
  <c r="F6" i="3"/>
  <c r="E16" i="3"/>
  <c r="K8" i="3"/>
  <c r="K15" i="3"/>
  <c r="K11" i="3"/>
  <c r="K7" i="3"/>
  <c r="K13" i="3"/>
  <c r="K10" i="3"/>
  <c r="K9" i="3"/>
  <c r="K6" i="3"/>
  <c r="K12" i="3"/>
  <c r="L6" i="6"/>
  <c r="F6" i="6"/>
  <c r="O4" i="5"/>
  <c r="G4" i="5"/>
  <c r="K16" i="6"/>
  <c r="L15" i="19"/>
  <c r="M14" i="19"/>
  <c r="F15" i="19"/>
  <c r="G14" i="19"/>
  <c r="N14" i="19"/>
  <c r="N13" i="19"/>
  <c r="F32" i="5"/>
  <c r="G32" i="5"/>
  <c r="V5" i="5"/>
  <c r="U5" i="5"/>
  <c r="D27" i="7"/>
  <c r="D19" i="7"/>
  <c r="B18" i="7"/>
  <c r="P28" i="7"/>
  <c r="N19" i="7"/>
  <c r="J27" i="7"/>
  <c r="H18" i="7"/>
  <c r="J19" i="7"/>
  <c r="T27" i="7"/>
  <c r="U18" i="7"/>
  <c r="U27" i="7"/>
  <c r="N27" i="7"/>
  <c r="O18" i="7"/>
  <c r="O27" i="7"/>
  <c r="C17" i="7"/>
  <c r="C26" i="7"/>
  <c r="B26" i="7"/>
  <c r="I17" i="7"/>
  <c r="I26" i="7"/>
  <c r="H26" i="7"/>
  <c r="W17" i="7"/>
  <c r="Q17" i="7"/>
  <c r="V28" i="7"/>
  <c r="T19" i="7"/>
  <c r="K16" i="7"/>
  <c r="E16" i="7"/>
  <c r="Q16" i="6"/>
  <c r="R6" i="6"/>
  <c r="L6" i="3"/>
  <c r="K16" i="3"/>
  <c r="G6" i="3"/>
  <c r="F7" i="3"/>
  <c r="F7" i="6"/>
  <c r="G6" i="6"/>
  <c r="L7" i="6"/>
  <c r="M6" i="6"/>
  <c r="G15" i="19"/>
  <c r="F16" i="19"/>
  <c r="L16" i="19"/>
  <c r="M15" i="19"/>
  <c r="F27" i="5"/>
  <c r="G27" i="5"/>
  <c r="F35" i="5"/>
  <c r="G35" i="5"/>
  <c r="F34" i="5"/>
  <c r="G34" i="5"/>
  <c r="F29" i="5"/>
  <c r="G29" i="5"/>
  <c r="F37" i="5"/>
  <c r="G37" i="5"/>
  <c r="F36" i="5"/>
  <c r="G36" i="5"/>
  <c r="F31" i="5"/>
  <c r="G31" i="5"/>
  <c r="F28" i="5"/>
  <c r="G28" i="5"/>
  <c r="F33" i="5"/>
  <c r="G33" i="5"/>
  <c r="F30" i="5"/>
  <c r="G30" i="5"/>
  <c r="Q18" i="7"/>
  <c r="K17" i="7"/>
  <c r="J28" i="7"/>
  <c r="H19" i="7"/>
  <c r="I18" i="7"/>
  <c r="I27" i="7"/>
  <c r="H27" i="7"/>
  <c r="B27" i="7"/>
  <c r="C18" i="7"/>
  <c r="C27" i="7"/>
  <c r="T28" i="7"/>
  <c r="U19" i="7"/>
  <c r="U28" i="7"/>
  <c r="D28" i="7"/>
  <c r="B19" i="7"/>
  <c r="E17" i="7"/>
  <c r="W18" i="7"/>
  <c r="N28" i="7"/>
  <c r="O19" i="7"/>
  <c r="O28" i="7"/>
  <c r="S6" i="6"/>
  <c r="T6" i="6"/>
  <c r="R7" i="6"/>
  <c r="F8" i="3"/>
  <c r="G7" i="3"/>
  <c r="L7" i="3"/>
  <c r="M6" i="3"/>
  <c r="N6" i="3"/>
  <c r="F8" i="6"/>
  <c r="G7" i="6"/>
  <c r="L8" i="6"/>
  <c r="M7" i="6"/>
  <c r="N15" i="19"/>
  <c r="L17" i="19"/>
  <c r="M16" i="19"/>
  <c r="F17" i="19"/>
  <c r="G16" i="19"/>
  <c r="N16" i="19"/>
  <c r="O5" i="5"/>
  <c r="W5" i="5"/>
  <c r="Q19" i="7"/>
  <c r="E18" i="7"/>
  <c r="I19" i="7"/>
  <c r="I28" i="7"/>
  <c r="H28" i="7"/>
  <c r="C19" i="7"/>
  <c r="C28" i="7"/>
  <c r="B28" i="7"/>
  <c r="W19" i="7"/>
  <c r="K18" i="7"/>
  <c r="S7" i="6"/>
  <c r="T7" i="6"/>
  <c r="R8" i="6"/>
  <c r="F9" i="3"/>
  <c r="G8" i="3"/>
  <c r="L8" i="3"/>
  <c r="M7" i="3"/>
  <c r="N7" i="3"/>
  <c r="F9" i="6"/>
  <c r="G8" i="6"/>
  <c r="L9" i="6"/>
  <c r="M8" i="6"/>
  <c r="F18" i="19"/>
  <c r="G17" i="19"/>
  <c r="L18" i="19"/>
  <c r="M17" i="19"/>
  <c r="K19" i="7"/>
  <c r="E19" i="7"/>
  <c r="G5" i="5"/>
  <c r="S8" i="6"/>
  <c r="T8" i="6"/>
  <c r="R9" i="6"/>
  <c r="F10" i="3"/>
  <c r="G9" i="3"/>
  <c r="M8" i="3"/>
  <c r="N8" i="3"/>
  <c r="L9" i="3"/>
  <c r="L10" i="6"/>
  <c r="M9" i="6"/>
  <c r="F10" i="6"/>
  <c r="G9" i="6"/>
  <c r="N17" i="19"/>
  <c r="L19" i="19"/>
  <c r="M18" i="19"/>
  <c r="F19" i="19"/>
  <c r="G18" i="19"/>
  <c r="F49" i="5"/>
  <c r="G49" i="5"/>
  <c r="F48" i="5"/>
  <c r="G48" i="5"/>
  <c r="F43" i="5"/>
  <c r="G43" i="5"/>
  <c r="F51" i="5"/>
  <c r="G51" i="5"/>
  <c r="F50" i="5"/>
  <c r="G50" i="5"/>
  <c r="F46" i="5"/>
  <c r="G46" i="5"/>
  <c r="F47" i="5"/>
  <c r="G47" i="5"/>
  <c r="F52" i="5"/>
  <c r="G52" i="5"/>
  <c r="F42" i="5"/>
  <c r="G42" i="5"/>
  <c r="F44" i="5"/>
  <c r="G44" i="5"/>
  <c r="F45" i="5"/>
  <c r="G45" i="5"/>
  <c r="S9" i="6"/>
  <c r="T9" i="6"/>
  <c r="R10" i="6"/>
  <c r="M9" i="3"/>
  <c r="N9" i="3"/>
  <c r="L10" i="3"/>
  <c r="F11" i="3"/>
  <c r="G10" i="3"/>
  <c r="L11" i="6"/>
  <c r="M10" i="6"/>
  <c r="F11" i="6"/>
  <c r="G10" i="6"/>
  <c r="N18" i="19"/>
  <c r="L20" i="19"/>
  <c r="M19" i="19"/>
  <c r="F20" i="19"/>
  <c r="G19" i="19"/>
  <c r="N19" i="19"/>
  <c r="O6" i="5"/>
  <c r="S10" i="6"/>
  <c r="T10" i="6"/>
  <c r="R11" i="6"/>
  <c r="F12" i="3"/>
  <c r="G11" i="3"/>
  <c r="M10" i="3"/>
  <c r="N10" i="3"/>
  <c r="L11" i="3"/>
  <c r="F12" i="6"/>
  <c r="G11" i="6"/>
  <c r="L12" i="6"/>
  <c r="M11" i="6"/>
  <c r="F21" i="19"/>
  <c r="G20" i="19"/>
  <c r="L21" i="19"/>
  <c r="M20" i="19"/>
  <c r="X5" i="5"/>
  <c r="G6" i="5"/>
  <c r="S11" i="6"/>
  <c r="T11" i="6"/>
  <c r="R12" i="6"/>
  <c r="L12" i="3"/>
  <c r="M11" i="3"/>
  <c r="N11" i="3"/>
  <c r="F13" i="3"/>
  <c r="G12" i="3"/>
  <c r="L13" i="6"/>
  <c r="H17" i="6"/>
  <c r="M12" i="6"/>
  <c r="F13" i="6"/>
  <c r="G12" i="6"/>
  <c r="F22" i="19"/>
  <c r="G21" i="19"/>
  <c r="L22" i="19"/>
  <c r="M21" i="19"/>
  <c r="N20" i="19"/>
  <c r="F57" i="5"/>
  <c r="G57" i="5"/>
  <c r="F66" i="5"/>
  <c r="G66" i="5"/>
  <c r="F60" i="5"/>
  <c r="G60" i="5"/>
  <c r="F65" i="5"/>
  <c r="G65" i="5"/>
  <c r="F58" i="5"/>
  <c r="G58" i="5"/>
  <c r="F62" i="5"/>
  <c r="G62" i="5"/>
  <c r="F63" i="5"/>
  <c r="G63" i="5"/>
  <c r="F67" i="5"/>
  <c r="G67" i="5"/>
  <c r="F61" i="5"/>
  <c r="G61" i="5"/>
  <c r="F64" i="5"/>
  <c r="G64" i="5"/>
  <c r="F59" i="5"/>
  <c r="G59" i="5"/>
  <c r="S12" i="6"/>
  <c r="T12" i="6"/>
  <c r="R13" i="6"/>
  <c r="N17" i="6"/>
  <c r="M12" i="3"/>
  <c r="N12" i="3"/>
  <c r="L13" i="3"/>
  <c r="H17" i="3"/>
  <c r="G13" i="3"/>
  <c r="F14" i="3"/>
  <c r="B17" i="3"/>
  <c r="F14" i="6"/>
  <c r="G13" i="6"/>
  <c r="B17" i="6"/>
  <c r="L14" i="6"/>
  <c r="M13" i="6"/>
  <c r="N21" i="19"/>
  <c r="F23" i="19"/>
  <c r="G22" i="19"/>
  <c r="M22" i="19"/>
  <c r="N22" i="19"/>
  <c r="L23" i="19"/>
  <c r="O7" i="5"/>
  <c r="S13" i="6"/>
  <c r="R14" i="6"/>
  <c r="G14" i="3"/>
  <c r="F15" i="3"/>
  <c r="G15" i="3"/>
  <c r="M13" i="3"/>
  <c r="N13" i="3"/>
  <c r="N17" i="3"/>
  <c r="L14" i="3"/>
  <c r="L15" i="6"/>
  <c r="M15" i="6"/>
  <c r="M14" i="6"/>
  <c r="F15" i="6"/>
  <c r="G15" i="6"/>
  <c r="G14" i="6"/>
  <c r="G23" i="19"/>
  <c r="F24" i="19"/>
  <c r="B28" i="19"/>
  <c r="L24" i="19"/>
  <c r="M23" i="19"/>
  <c r="H28" i="19"/>
  <c r="Y5" i="5"/>
  <c r="G7" i="5"/>
  <c r="F77" i="5"/>
  <c r="G77" i="5"/>
  <c r="T13" i="6"/>
  <c r="T17" i="6"/>
  <c r="S14" i="6"/>
  <c r="T14" i="6"/>
  <c r="R15" i="6"/>
  <c r="S15" i="6"/>
  <c r="T15" i="6"/>
  <c r="M14" i="3"/>
  <c r="N14" i="3"/>
  <c r="L15" i="3"/>
  <c r="M15" i="3"/>
  <c r="N15" i="3"/>
  <c r="L25" i="19"/>
  <c r="M24" i="19"/>
  <c r="F25" i="19"/>
  <c r="G24" i="19"/>
  <c r="N24" i="19"/>
  <c r="N23" i="19"/>
  <c r="N28" i="19"/>
  <c r="F74" i="5"/>
  <c r="G74" i="5"/>
  <c r="F76" i="5"/>
  <c r="G76" i="5"/>
  <c r="F73" i="5"/>
  <c r="G73" i="5"/>
  <c r="F72" i="5"/>
  <c r="G72" i="5"/>
  <c r="F75" i="5"/>
  <c r="G75" i="5"/>
  <c r="F26" i="19"/>
  <c r="G26" i="19"/>
  <c r="G25" i="19"/>
  <c r="L26" i="19"/>
  <c r="M26" i="19"/>
  <c r="M25" i="19"/>
  <c r="O8" i="5"/>
  <c r="Z4" i="5"/>
  <c r="Y4" i="5"/>
  <c r="X4" i="5"/>
  <c r="W4" i="5"/>
  <c r="V4" i="5"/>
  <c r="N25" i="19"/>
  <c r="N26" i="19"/>
  <c r="G8" i="5"/>
  <c r="Z5" i="5"/>
  <c r="U4" i="5"/>
  <c r="U8" i="5"/>
  <c r="W8" i="5"/>
  <c r="X7" i="5"/>
  <c r="W7" i="5"/>
  <c r="U7" i="5"/>
  <c r="Z7" i="5"/>
  <c r="Y7" i="5"/>
  <c r="F7" i="10"/>
  <c r="V7" i="5"/>
  <c r="F7" i="13"/>
  <c r="G7" i="10"/>
  <c r="G22" i="10"/>
  <c r="F7" i="11"/>
  <c r="F14" i="11"/>
  <c r="F5" i="11"/>
  <c r="F12" i="11"/>
  <c r="G8" i="13"/>
  <c r="G23" i="13"/>
  <c r="G5" i="13"/>
  <c r="G20" i="13"/>
  <c r="G6" i="13"/>
  <c r="G21" i="13"/>
  <c r="F6" i="11"/>
  <c r="F13" i="11"/>
  <c r="F5" i="8"/>
  <c r="F11" i="8"/>
  <c r="G7" i="13"/>
  <c r="G22" i="13"/>
  <c r="G9" i="13"/>
  <c r="G24" i="13"/>
  <c r="G10" i="13"/>
  <c r="G25" i="13"/>
  <c r="F8" i="11"/>
  <c r="F15" i="11"/>
  <c r="F7" i="8"/>
  <c r="F13" i="8"/>
  <c r="G9" i="10"/>
  <c r="G24" i="10"/>
  <c r="G8" i="10"/>
  <c r="G23" i="10"/>
  <c r="E8" i="11"/>
  <c r="E15" i="11"/>
  <c r="F8" i="10"/>
  <c r="D7" i="11"/>
  <c r="D8" i="11"/>
  <c r="D5" i="11"/>
  <c r="D7" i="8"/>
  <c r="D6" i="8"/>
  <c r="D6" i="11"/>
  <c r="D5" i="8"/>
  <c r="E6" i="8"/>
  <c r="E12" i="8"/>
  <c r="E10" i="10"/>
  <c r="E25" i="10"/>
  <c r="E8" i="10"/>
  <c r="E23" i="10"/>
  <c r="E6" i="10"/>
  <c r="E21" i="10"/>
  <c r="E10" i="13"/>
  <c r="E25" i="13"/>
  <c r="E9" i="10"/>
  <c r="E24" i="10"/>
  <c r="E5" i="10"/>
  <c r="E20" i="10"/>
  <c r="E8" i="13"/>
  <c r="E23" i="13"/>
  <c r="E7" i="13"/>
  <c r="E22" i="13"/>
  <c r="E7" i="10"/>
  <c r="E22" i="10"/>
  <c r="E6" i="13"/>
  <c r="E21" i="13"/>
  <c r="E5" i="13"/>
  <c r="E20" i="13"/>
  <c r="E9" i="13"/>
  <c r="E24" i="13"/>
  <c r="G10" i="10"/>
  <c r="G25" i="10"/>
  <c r="F6" i="8"/>
  <c r="F12" i="8"/>
  <c r="G5" i="10"/>
  <c r="G20" i="10"/>
  <c r="G6" i="10"/>
  <c r="G21" i="10"/>
  <c r="F10" i="13"/>
  <c r="F25" i="13"/>
  <c r="E5" i="11"/>
  <c r="E12" i="11"/>
  <c r="E6" i="11"/>
  <c r="E13" i="11"/>
  <c r="E7" i="8"/>
  <c r="E13" i="8"/>
  <c r="F5" i="10"/>
  <c r="F20" i="10"/>
  <c r="E5" i="8"/>
  <c r="E11" i="8"/>
  <c r="F9" i="13"/>
  <c r="F24" i="13"/>
  <c r="F6" i="13"/>
  <c r="E7" i="11"/>
  <c r="E14" i="11"/>
  <c r="F5" i="13"/>
  <c r="F20" i="13"/>
  <c r="F6" i="10"/>
  <c r="F9" i="10"/>
  <c r="F8" i="13"/>
  <c r="F23" i="13"/>
  <c r="F10" i="10"/>
  <c r="F22" i="13"/>
  <c r="F22" i="10"/>
  <c r="F23" i="10"/>
  <c r="I8" i="11"/>
  <c r="I15" i="11"/>
  <c r="G8" i="11"/>
  <c r="G15" i="11"/>
  <c r="D12" i="11"/>
  <c r="D11" i="8"/>
  <c r="D13" i="11"/>
  <c r="D15" i="11"/>
  <c r="H8" i="11"/>
  <c r="H15" i="11"/>
  <c r="D14" i="11"/>
  <c r="D12" i="8"/>
  <c r="D13" i="8"/>
  <c r="I6" i="8"/>
  <c r="I12" i="8"/>
  <c r="H7" i="10"/>
  <c r="H22" i="10"/>
  <c r="J7" i="10"/>
  <c r="J22" i="10"/>
  <c r="G5" i="8"/>
  <c r="G11" i="8"/>
  <c r="J6" i="13"/>
  <c r="J21" i="13"/>
  <c r="H7" i="11"/>
  <c r="H14" i="11"/>
  <c r="I10" i="10"/>
  <c r="I25" i="10"/>
  <c r="H5" i="8"/>
  <c r="H11" i="8"/>
  <c r="G7" i="11"/>
  <c r="G14" i="11"/>
  <c r="H6" i="8"/>
  <c r="H12" i="8"/>
  <c r="G5" i="11"/>
  <c r="G12" i="11"/>
  <c r="I8" i="13"/>
  <c r="I23" i="13"/>
  <c r="J10" i="10"/>
  <c r="J25" i="10"/>
  <c r="H5" i="10"/>
  <c r="H20" i="10"/>
  <c r="I5" i="13"/>
  <c r="I20" i="13"/>
  <c r="I5" i="8"/>
  <c r="I11" i="8"/>
  <c r="J5" i="10"/>
  <c r="J20" i="10"/>
  <c r="H8" i="10"/>
  <c r="H23" i="10"/>
  <c r="H5" i="13"/>
  <c r="H20" i="13"/>
  <c r="G6" i="8"/>
  <c r="G12" i="8"/>
  <c r="I7" i="11"/>
  <c r="I14" i="11"/>
  <c r="H5" i="11"/>
  <c r="H12" i="11"/>
  <c r="I5" i="11"/>
  <c r="I12" i="11"/>
  <c r="I8" i="10"/>
  <c r="I23" i="10"/>
  <c r="F25" i="10"/>
  <c r="J8" i="10"/>
  <c r="J23" i="10"/>
  <c r="I9" i="10"/>
  <c r="I24" i="10"/>
  <c r="H6" i="13"/>
  <c r="H21" i="13"/>
  <c r="I6" i="13"/>
  <c r="I21" i="13"/>
  <c r="H10" i="10"/>
  <c r="H25" i="10"/>
  <c r="G7" i="8"/>
  <c r="G13" i="8"/>
  <c r="H6" i="10"/>
  <c r="H21" i="10"/>
  <c r="I6" i="10"/>
  <c r="I21" i="10"/>
  <c r="H9" i="13"/>
  <c r="H24" i="13"/>
  <c r="H10" i="13"/>
  <c r="H25" i="13"/>
  <c r="J10" i="13"/>
  <c r="J25" i="13"/>
  <c r="F21" i="13"/>
  <c r="H7" i="13"/>
  <c r="H22" i="13"/>
  <c r="J9" i="10"/>
  <c r="J24" i="10"/>
  <c r="J5" i="13"/>
  <c r="J20" i="13"/>
  <c r="I7" i="8"/>
  <c r="I13" i="8"/>
  <c r="H9" i="10"/>
  <c r="H24" i="10"/>
  <c r="J7" i="13"/>
  <c r="J22" i="13"/>
  <c r="F24" i="10"/>
  <c r="I5" i="10"/>
  <c r="I20" i="10"/>
  <c r="I10" i="13"/>
  <c r="I25" i="13"/>
  <c r="H8" i="13"/>
  <c r="H23" i="13"/>
  <c r="I7" i="13"/>
  <c r="I22" i="13"/>
  <c r="I7" i="10"/>
  <c r="I22" i="10"/>
  <c r="J8" i="13"/>
  <c r="J23" i="13"/>
  <c r="G6" i="11"/>
  <c r="G13" i="11"/>
  <c r="J6" i="10"/>
  <c r="J21" i="10"/>
  <c r="H6" i="11"/>
  <c r="H13" i="11"/>
  <c r="I6" i="11"/>
  <c r="I13" i="11"/>
  <c r="I9" i="13"/>
  <c r="I24" i="13"/>
  <c r="F21" i="10"/>
  <c r="J9" i="13"/>
  <c r="J24" i="13"/>
  <c r="H7" i="8"/>
  <c r="H13" i="8"/>
  <c r="C22" i="10"/>
  <c r="B22" i="10"/>
  <c r="C25" i="10"/>
  <c r="B25" i="10"/>
  <c r="C20" i="10"/>
  <c r="B20" i="10"/>
  <c r="C21" i="13"/>
  <c r="B21" i="13"/>
  <c r="C24" i="10"/>
  <c r="B24" i="10"/>
  <c r="C20" i="13"/>
  <c r="B20" i="13"/>
  <c r="C23" i="10"/>
  <c r="B23" i="10"/>
  <c r="C25" i="13"/>
  <c r="B25" i="13"/>
  <c r="C22" i="13"/>
  <c r="B22" i="13"/>
  <c r="C23" i="13"/>
  <c r="B23" i="13"/>
  <c r="C24" i="13"/>
  <c r="B24" i="13"/>
  <c r="C21" i="10"/>
  <c r="B21" i="10"/>
</calcChain>
</file>

<file path=xl/sharedStrings.xml><?xml version="1.0" encoding="utf-8"?>
<sst xmlns="http://schemas.openxmlformats.org/spreadsheetml/2006/main" count="641" uniqueCount="185">
  <si>
    <t>Data:</t>
  </si>
  <si>
    <t>(%)</t>
  </si>
  <si>
    <t xml:space="preserve">  COMPOSIÇÃO IDEAL DOS AGREGADOS MIÚDOS </t>
  </si>
  <si>
    <t>Mescla</t>
  </si>
  <si>
    <t>⁭</t>
  </si>
  <si>
    <t>Areia fina</t>
  </si>
  <si>
    <t>Média</t>
  </si>
  <si>
    <t>Mód Finura</t>
  </si>
  <si>
    <t>Determinação da massa unitária compactada de misturas e índice de volume de vazios
ABNT NBR NM 45</t>
  </si>
  <si>
    <t>Mínimos de vazios das misturas</t>
  </si>
  <si>
    <t>m</t>
  </si>
  <si>
    <t>Traço</t>
  </si>
  <si>
    <t>Cimento</t>
  </si>
  <si>
    <t>Brita 1</t>
  </si>
  <si>
    <t>Brita 0</t>
  </si>
  <si>
    <t>Areia Média</t>
  </si>
  <si>
    <t>Areia Fina</t>
  </si>
  <si>
    <t>Massa Específica (kg/m3)</t>
  </si>
  <si>
    <t>1</t>
  </si>
  <si>
    <t>Peso Recipiente (kg)</t>
  </si>
  <si>
    <t>Dimensões do Recipiente (cm)</t>
  </si>
  <si>
    <r>
      <t xml:space="preserve">Volume (l) </t>
    </r>
    <r>
      <rPr>
        <sz val="12"/>
        <color indexed="10"/>
        <rFont val="Times New Roman"/>
        <family val="1"/>
      </rPr>
      <t>(mínimo 10 l)</t>
    </r>
  </si>
  <si>
    <t>Massa compactada da mistura (kg)</t>
  </si>
  <si>
    <t>Massa compactada da mistura sem o recepciente (kg)</t>
  </si>
  <si>
    <r>
      <t>Massa Unitária Compactada Final (kg/m</t>
    </r>
    <r>
      <rPr>
        <vertAlign val="superscript"/>
        <sz val="11"/>
        <color indexed="8"/>
        <rFont val="Times New Roman"/>
        <family val="1"/>
      </rPr>
      <t>3</t>
    </r>
    <r>
      <rPr>
        <sz val="11"/>
        <color indexed="8"/>
        <rFont val="Times New Roman"/>
        <family val="1"/>
      </rPr>
      <t>)</t>
    </r>
  </si>
  <si>
    <r>
      <t>Massa Específica da Mistura (kg/m</t>
    </r>
    <r>
      <rPr>
        <vertAlign val="superscript"/>
        <sz val="11"/>
        <color indexed="8"/>
        <rFont val="Times New Roman"/>
        <family val="1"/>
      </rPr>
      <t>3</t>
    </r>
    <r>
      <rPr>
        <sz val="11"/>
        <color indexed="8"/>
        <rFont val="Times New Roman"/>
        <family val="1"/>
      </rPr>
      <t>)</t>
    </r>
  </si>
  <si>
    <t>Índice de Volume de Vazios (%)</t>
  </si>
  <si>
    <t>Ensaio
1</t>
  </si>
  <si>
    <t>Ensaio
2</t>
  </si>
  <si>
    <t>Retido
(%)</t>
  </si>
  <si>
    <t>Acum.
(%)</t>
  </si>
  <si>
    <t>Prop.
(%)</t>
  </si>
  <si>
    <t>Zona
util</t>
  </si>
  <si>
    <t>Zona
ótima</t>
  </si>
  <si>
    <t>%, em massa, retida acumulada</t>
  </si>
  <si>
    <t>Limites Inf.</t>
  </si>
  <si>
    <t>Limites Sup.</t>
  </si>
  <si>
    <t>Areia Regular</t>
  </si>
  <si>
    <t>Areia Grossa</t>
  </si>
  <si>
    <t>SOMENTE SE FOR TRABALHAR
COM 4 TRAÇOS</t>
  </si>
  <si>
    <t>INTERMEDIÁRIO</t>
  </si>
  <si>
    <t>Traço (m)</t>
  </si>
  <si>
    <t>RICO</t>
  </si>
  <si>
    <t>INTERMEDIÁRIO 2</t>
  </si>
  <si>
    <t>POBRE</t>
  </si>
  <si>
    <t>% argam</t>
  </si>
  <si>
    <t>Cim</t>
  </si>
  <si>
    <t>Areia</t>
  </si>
  <si>
    <t>Brita</t>
  </si>
  <si>
    <t>Total de materiais (kg)</t>
  </si>
  <si>
    <r>
      <rPr>
        <b/>
        <sz val="10"/>
        <rFont val="Symbol"/>
        <family val="1"/>
        <charset val="2"/>
      </rPr>
      <t>S</t>
    </r>
    <r>
      <rPr>
        <b/>
        <sz val="10"/>
        <rFont val="Arial"/>
        <family val="2"/>
      </rPr>
      <t xml:space="preserve"> (kg)</t>
    </r>
  </si>
  <si>
    <t>FAMÍLIA CONCRETO</t>
  </si>
  <si>
    <t>Família</t>
  </si>
  <si>
    <t>Mesp</t>
  </si>
  <si>
    <t>a/c</t>
  </si>
  <si>
    <t>H</t>
  </si>
  <si>
    <t>c</t>
  </si>
  <si>
    <t>Rico</t>
  </si>
  <si>
    <t>Interm</t>
  </si>
  <si>
    <t>Pobre</t>
  </si>
  <si>
    <t>Pvazio</t>
  </si>
  <si>
    <t>Mesp1</t>
  </si>
  <si>
    <t>a (%)</t>
  </si>
  <si>
    <t>Pcheio</t>
  </si>
  <si>
    <t>Mesp2</t>
  </si>
  <si>
    <t>Teor de Aditivo (%)</t>
  </si>
  <si>
    <t>CONCRETO CONVENCIONAL - 28 DIAS</t>
  </si>
  <si>
    <t>Equação de Abrams</t>
  </si>
  <si>
    <t>28 dias</t>
  </si>
  <si>
    <t>7 dia</t>
  </si>
  <si>
    <t>C</t>
  </si>
  <si>
    <r>
      <t>Log f</t>
    </r>
    <r>
      <rPr>
        <b/>
        <vertAlign val="subscript"/>
        <sz val="12"/>
        <color indexed="10"/>
        <rFont val="Times New Roman"/>
        <family val="1"/>
      </rPr>
      <t>c7</t>
    </r>
  </si>
  <si>
    <r>
      <t>Log f</t>
    </r>
    <r>
      <rPr>
        <b/>
        <vertAlign val="subscript"/>
        <sz val="12"/>
        <color indexed="10"/>
        <rFont val="Times New Roman"/>
        <family val="1"/>
      </rPr>
      <t>c28</t>
    </r>
  </si>
  <si>
    <t>1/C</t>
  </si>
  <si>
    <r>
      <t>f</t>
    </r>
    <r>
      <rPr>
        <vertAlign val="subscript"/>
        <sz val="12"/>
        <rFont val="Times New Roman"/>
        <family val="1"/>
      </rPr>
      <t>cj</t>
    </r>
    <r>
      <rPr>
        <sz val="12"/>
        <rFont val="Times New Roman"/>
        <family val="1"/>
      </rPr>
      <t>= A/B</t>
    </r>
    <r>
      <rPr>
        <vertAlign val="superscript"/>
        <sz val="12"/>
        <rFont val="Times New Roman"/>
        <family val="1"/>
      </rPr>
      <t>a/c</t>
    </r>
  </si>
  <si>
    <r>
      <t>f</t>
    </r>
    <r>
      <rPr>
        <b/>
        <vertAlign val="subscript"/>
        <sz val="12"/>
        <rFont val="Times New Roman"/>
        <family val="1"/>
      </rPr>
      <t>cj1</t>
    </r>
  </si>
  <si>
    <r>
      <t>a/c</t>
    </r>
    <r>
      <rPr>
        <b/>
        <vertAlign val="subscript"/>
        <sz val="12"/>
        <color indexed="10"/>
        <rFont val="Times New Roman"/>
        <family val="1"/>
      </rPr>
      <t>1</t>
    </r>
  </si>
  <si>
    <r>
      <t>m</t>
    </r>
    <r>
      <rPr>
        <b/>
        <vertAlign val="subscript"/>
        <sz val="12"/>
        <color indexed="12"/>
        <rFont val="Times New Roman"/>
        <family val="1"/>
      </rPr>
      <t>1</t>
    </r>
  </si>
  <si>
    <r>
      <t>c</t>
    </r>
    <r>
      <rPr>
        <b/>
        <vertAlign val="subscript"/>
        <sz val="12"/>
        <color indexed="18"/>
        <rFont val="Times New Roman"/>
        <family val="1"/>
      </rPr>
      <t>1</t>
    </r>
  </si>
  <si>
    <r>
      <t>log.f</t>
    </r>
    <r>
      <rPr>
        <vertAlign val="subscript"/>
        <sz val="12"/>
        <rFont val="Times New Roman"/>
        <family val="1"/>
      </rPr>
      <t xml:space="preserve">cj </t>
    </r>
    <r>
      <rPr>
        <sz val="12"/>
        <rFont val="Times New Roman"/>
        <family val="1"/>
      </rPr>
      <t>= log.A - a/c.log.B</t>
    </r>
  </si>
  <si>
    <r>
      <t>f</t>
    </r>
    <r>
      <rPr>
        <b/>
        <vertAlign val="subscript"/>
        <sz val="12"/>
        <rFont val="Times New Roman"/>
        <family val="1"/>
      </rPr>
      <t>cj2</t>
    </r>
  </si>
  <si>
    <r>
      <t>a/c</t>
    </r>
    <r>
      <rPr>
        <b/>
        <vertAlign val="subscript"/>
        <sz val="12"/>
        <color indexed="10"/>
        <rFont val="Times New Roman"/>
        <family val="1"/>
      </rPr>
      <t>2</t>
    </r>
    <r>
      <rPr>
        <sz val="12"/>
        <rFont val="Times New Roman"/>
        <family val="1"/>
      </rPr>
      <t/>
    </r>
  </si>
  <si>
    <r>
      <t>m</t>
    </r>
    <r>
      <rPr>
        <b/>
        <vertAlign val="subscript"/>
        <sz val="12"/>
        <color indexed="12"/>
        <rFont val="Times New Roman"/>
        <family val="1"/>
      </rPr>
      <t>2</t>
    </r>
    <r>
      <rPr>
        <sz val="12"/>
        <rFont val="Times New Roman"/>
        <family val="1"/>
      </rPr>
      <t/>
    </r>
  </si>
  <si>
    <r>
      <t>c</t>
    </r>
    <r>
      <rPr>
        <b/>
        <vertAlign val="subscript"/>
        <sz val="12"/>
        <color indexed="18"/>
        <rFont val="Times New Roman"/>
        <family val="1"/>
      </rPr>
      <t>2</t>
    </r>
    <r>
      <rPr>
        <sz val="12"/>
        <rFont val="Times New Roman"/>
        <family val="1"/>
      </rPr>
      <t/>
    </r>
  </si>
  <si>
    <t>Onde:</t>
  </si>
  <si>
    <r>
      <t>f</t>
    </r>
    <r>
      <rPr>
        <b/>
        <vertAlign val="subscript"/>
        <sz val="12"/>
        <rFont val="Times New Roman"/>
        <family val="1"/>
      </rPr>
      <t>cj3</t>
    </r>
    <r>
      <rPr>
        <sz val="12"/>
        <rFont val="Times New Roman"/>
        <family val="1"/>
      </rPr>
      <t/>
    </r>
  </si>
  <si>
    <r>
      <t>a/c</t>
    </r>
    <r>
      <rPr>
        <b/>
        <vertAlign val="subscript"/>
        <sz val="12"/>
        <color indexed="10"/>
        <rFont val="Times New Roman"/>
        <family val="1"/>
      </rPr>
      <t>3</t>
    </r>
    <r>
      <rPr>
        <sz val="12"/>
        <rFont val="Times New Roman"/>
        <family val="1"/>
      </rPr>
      <t/>
    </r>
  </si>
  <si>
    <r>
      <t>m</t>
    </r>
    <r>
      <rPr>
        <b/>
        <vertAlign val="subscript"/>
        <sz val="12"/>
        <color indexed="12"/>
        <rFont val="Times New Roman"/>
        <family val="1"/>
      </rPr>
      <t>3</t>
    </r>
    <r>
      <rPr>
        <sz val="12"/>
        <rFont val="Times New Roman"/>
        <family val="1"/>
      </rPr>
      <t/>
    </r>
  </si>
  <si>
    <r>
      <t>c</t>
    </r>
    <r>
      <rPr>
        <b/>
        <vertAlign val="subscript"/>
        <sz val="12"/>
        <color indexed="18"/>
        <rFont val="Times New Roman"/>
        <family val="1"/>
      </rPr>
      <t>3</t>
    </r>
    <r>
      <rPr>
        <sz val="12"/>
        <rFont val="Times New Roman"/>
        <family val="1"/>
      </rPr>
      <t/>
    </r>
  </si>
  <si>
    <r>
      <t>y = log.f</t>
    </r>
    <r>
      <rPr>
        <vertAlign val="subscript"/>
        <sz val="12"/>
        <rFont val="Times New Roman"/>
        <family val="1"/>
      </rPr>
      <t>cj</t>
    </r>
  </si>
  <si>
    <t>x = a/c</t>
  </si>
  <si>
    <t>Logo:</t>
  </si>
  <si>
    <t>y = a - x.b</t>
  </si>
  <si>
    <t>a</t>
  </si>
  <si>
    <t>b</t>
  </si>
  <si>
    <t>log fc1</t>
  </si>
  <si>
    <t>fc1</t>
  </si>
  <si>
    <t>Equação de Lyse</t>
  </si>
  <si>
    <t>m = A + B*a/c</t>
  </si>
  <si>
    <t>y = m</t>
  </si>
  <si>
    <t>y = A + B*x</t>
  </si>
  <si>
    <t>Equação de Molinari</t>
  </si>
  <si>
    <t>1/C = A + B*m</t>
  </si>
  <si>
    <t>x = 1/C</t>
  </si>
  <si>
    <t xml:space="preserve">x = A + B*y </t>
  </si>
  <si>
    <t>x = c</t>
  </si>
  <si>
    <t>REFERÊNCIA 28dd - CÁLCULO DOS TRAÇOS E CUSTOS - por metro cúbico</t>
  </si>
  <si>
    <t>Item</t>
  </si>
  <si>
    <t>Unidade</t>
  </si>
  <si>
    <t>Valor</t>
  </si>
  <si>
    <t>$cim
(R$)</t>
  </si>
  <si>
    <t>$ Aditivo
(kg)</t>
  </si>
  <si>
    <t>$ Água
(kg)</t>
  </si>
  <si>
    <t>$TOTAL
(R$)</t>
  </si>
  <si>
    <t>$R$/MPa</t>
  </si>
  <si>
    <t>Teor de aditivo</t>
  </si>
  <si>
    <t>%</t>
  </si>
  <si>
    <t xml:space="preserve">Custo do cimento </t>
  </si>
  <si>
    <t>R$/kg</t>
  </si>
  <si>
    <t>Custo da água</t>
  </si>
  <si>
    <t>Custo do aditivo</t>
  </si>
  <si>
    <t>Interm 2</t>
  </si>
  <si>
    <r>
      <t>a/c</t>
    </r>
    <r>
      <rPr>
        <b/>
        <vertAlign val="subscript"/>
        <sz val="12"/>
        <color indexed="10"/>
        <rFont val="Times New Roman"/>
        <family val="1"/>
      </rPr>
      <t>4</t>
    </r>
  </si>
  <si>
    <r>
      <t>f</t>
    </r>
    <r>
      <rPr>
        <b/>
        <vertAlign val="subscript"/>
        <sz val="12"/>
        <rFont val="Times New Roman"/>
        <family val="1"/>
      </rPr>
      <t>cj4</t>
    </r>
  </si>
  <si>
    <r>
      <t>m</t>
    </r>
    <r>
      <rPr>
        <b/>
        <vertAlign val="subscript"/>
        <sz val="12"/>
        <color indexed="12"/>
        <rFont val="Times New Roman"/>
        <family val="1"/>
      </rPr>
      <t>4</t>
    </r>
  </si>
  <si>
    <r>
      <t>c</t>
    </r>
    <r>
      <rPr>
        <b/>
        <vertAlign val="subscript"/>
        <sz val="12"/>
        <color indexed="18"/>
        <rFont val="Times New Roman"/>
        <family val="1"/>
      </rPr>
      <t>4</t>
    </r>
  </si>
  <si>
    <t>Materiais</t>
  </si>
  <si>
    <t>Brita 2</t>
  </si>
  <si>
    <t>B2</t>
  </si>
  <si>
    <t>B1</t>
  </si>
  <si>
    <t>B0</t>
  </si>
  <si>
    <t>AG</t>
  </si>
  <si>
    <t>AM</t>
  </si>
  <si>
    <t>AF</t>
  </si>
  <si>
    <t>Conferência dos %</t>
  </si>
  <si>
    <r>
      <t>Cimento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</si>
  <si>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A Fina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</si>
  <si>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A Média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</si>
  <si>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A Grossa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</si>
  <si>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g</t>
  </si>
  <si>
    <r>
      <t>Brita 2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</si>
  <si>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Brita 0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</si>
  <si>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Brita 1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</si>
  <si>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Água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</si>
  <si>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Aditivo 1 (kg/m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</si>
  <si>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Proporção</t>
  </si>
  <si>
    <t>Total</t>
  </si>
  <si>
    <t>B</t>
  </si>
  <si>
    <t>A</t>
  </si>
  <si>
    <t xml:space="preserve">  COMPOSIÇÃO GRANULOMÉTRICA DE UM AGREGADO MIÚDO</t>
  </si>
  <si>
    <t>Areia regular</t>
  </si>
  <si>
    <t>Teor na mistura de areia fina</t>
  </si>
  <si>
    <t>Teor na mistura de areia regular</t>
  </si>
  <si>
    <t>Teor na mistura de areia grossa</t>
  </si>
  <si>
    <t>$areia fina
(R$)</t>
  </si>
  <si>
    <t>$areia média
(R$)</t>
  </si>
  <si>
    <t>$areia grossa
(R$)</t>
  </si>
  <si>
    <t>$brita 0
(kg)</t>
  </si>
  <si>
    <t>$brita 1
(kg)</t>
  </si>
  <si>
    <t>$brita 2
(kg)</t>
  </si>
  <si>
    <t>(kg)</t>
  </si>
  <si>
    <t>Água</t>
  </si>
  <si>
    <t>Aditivo</t>
  </si>
  <si>
    <t>Custo da areia fina</t>
  </si>
  <si>
    <t>Custo da areia média</t>
  </si>
  <si>
    <t>Custo da areia grossa</t>
  </si>
  <si>
    <t>Custo da brita 0</t>
  </si>
  <si>
    <t>Custo da brita 1</t>
  </si>
  <si>
    <t>Custo da brita 2</t>
  </si>
  <si>
    <t xml:space="preserve">  COMPOSIÇÃO GRANULOMÉTRICA DE UM AGREGADO GRAÚDO</t>
  </si>
  <si>
    <t>Percentagem, em massa, retida acumulada</t>
  </si>
  <si>
    <t>Zona Granulométrica (d/D)</t>
  </si>
  <si>
    <t>Média (g)</t>
  </si>
  <si>
    <t>4,75/12,5</t>
  </si>
  <si>
    <t>9,5/25</t>
  </si>
  <si>
    <t>19/31,5</t>
  </si>
  <si>
    <t>25/50</t>
  </si>
  <si>
    <t>37,5/75</t>
  </si>
  <si>
    <t>Lim Inf</t>
  </si>
  <si>
    <t>Lim Sup</t>
  </si>
  <si>
    <t>Proporção (%)</t>
  </si>
  <si>
    <t>Mescla das britas</t>
  </si>
  <si>
    <t>Teor na mistura da brita 1</t>
  </si>
  <si>
    <t>Teor na mistura da brita 2</t>
  </si>
  <si>
    <t>Peneira com abertura de malha (ABNT NBR NM ISO 3310-1)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</si>
</sst>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#,##0.000"/>
    <numFmt numFmtId="167" formatCode="[$-416]d\-mmm\-yy;@"/>
    <numFmt numFmtId="168" formatCode="0.0000"/>
    <numFmt numFmtId="169" formatCode="0.000000"/>
  </numFmts>
  <fonts count="5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indexed="8"/>
      <name val="Times New Roman"/>
      <family val="1"/>
    </font>
    <font>
      <b/>
      <sz val="18"/>
      <color indexed="8"/>
      <name val="Times New Roman"/>
      <family val="1"/>
    </font>
    <font>
      <sz val="18"/>
      <color indexed="8"/>
      <name val="Times New Roman"/>
      <family val="1"/>
    </font>
    <font>
      <sz val="1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2"/>
      <color indexed="10"/>
      <name val="Times New Roman"/>
      <family val="1"/>
    </font>
    <font>
      <b/>
      <sz val="16"/>
      <color indexed="8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b/>
      <sz val="10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1"/>
      <charset val="2"/>
    </font>
    <font>
      <b/>
      <sz val="10"/>
      <name val="Symbol"/>
      <family val="1"/>
      <charset val="2"/>
    </font>
    <font>
      <b/>
      <sz val="14"/>
      <name val="Symbol"/>
      <family val="1"/>
      <charset val="2"/>
    </font>
    <font>
      <sz val="12"/>
      <name val="Symbol"/>
      <family val="1"/>
      <charset val="2"/>
    </font>
    <font>
      <b/>
      <sz val="30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vertAlign val="subscript"/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bscript"/>
      <sz val="12"/>
      <name val="Times New Roman"/>
      <family val="1"/>
    </font>
    <font>
      <b/>
      <sz val="12"/>
      <color indexed="12"/>
      <name val="Times New Roman"/>
      <family val="1"/>
    </font>
    <font>
      <b/>
      <vertAlign val="subscript"/>
      <sz val="12"/>
      <color indexed="12"/>
      <name val="Times New Roman"/>
      <family val="1"/>
    </font>
    <font>
      <b/>
      <sz val="12"/>
      <color indexed="18"/>
      <name val="Times New Roman"/>
      <family val="1"/>
    </font>
    <font>
      <b/>
      <vertAlign val="subscript"/>
      <sz val="12"/>
      <color indexed="18"/>
      <name val="Times New Roman"/>
      <family val="1"/>
    </font>
    <font>
      <b/>
      <sz val="16"/>
      <name val="Arial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vertAlign val="superscript"/>
      <sz val="10"/>
      <name val="Arial"/>
      <family val="2"/>
    </font>
    <font>
      <b/>
      <sz val="12"/>
      <name val="Symbol"/>
      <family val="1"/>
      <charset val="2"/>
    </font>
    <font>
      <b/>
      <sz val="11"/>
      <color indexed="8"/>
      <name val="Arial"/>
      <family val="2"/>
    </font>
    <font>
      <sz val="10"/>
      <name val="Symbol"/>
      <family val="1"/>
      <charset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b/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1" fillId="0" borderId="0" applyFont="0" applyFill="0" applyBorder="0" applyAlignment="0" applyProtection="0"/>
    <xf numFmtId="0" fontId="51" fillId="0" borderId="0"/>
  </cellStyleXfs>
  <cellXfs count="71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14" xfId="0" applyFont="1" applyFill="1" applyBorder="1" applyAlignment="1">
      <alignment horizontal="center"/>
    </xf>
    <xf numFmtId="164" fontId="6" fillId="0" borderId="14" xfId="0" applyNumberFormat="1" applyFont="1" applyBorder="1" applyAlignment="1">
      <alignment horizontal="center"/>
    </xf>
    <xf numFmtId="164" fontId="6" fillId="0" borderId="15" xfId="0" applyNumberFormat="1" applyFont="1" applyFill="1" applyBorder="1" applyAlignment="1">
      <alignment horizontal="center"/>
    </xf>
    <xf numFmtId="164" fontId="6" fillId="2" borderId="16" xfId="0" applyNumberFormat="1" applyFont="1" applyFill="1" applyBorder="1" applyAlignment="1">
      <alignment horizontal="center"/>
    </xf>
    <xf numFmtId="164" fontId="6" fillId="4" borderId="17" xfId="0" applyNumberFormat="1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12" xfId="0" applyNumberFormat="1" applyFont="1" applyFill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8" fillId="0" borderId="0" xfId="0" applyFont="1"/>
    <xf numFmtId="0" fontId="12" fillId="0" borderId="31" xfId="0" applyFont="1" applyBorder="1" applyAlignment="1">
      <alignment horizontal="center" vertical="center" textRotation="90" wrapText="1"/>
    </xf>
    <xf numFmtId="0" fontId="12" fillId="0" borderId="27" xfId="0" applyFont="1" applyBorder="1" applyAlignment="1">
      <alignment horizontal="center" vertical="center" textRotation="90" wrapText="1"/>
    </xf>
    <xf numFmtId="0" fontId="12" fillId="0" borderId="28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/>
    </xf>
    <xf numFmtId="0" fontId="17" fillId="0" borderId="10" xfId="0" applyFont="1" applyBorder="1" applyAlignment="1">
      <alignment horizontal="center"/>
    </xf>
    <xf numFmtId="2" fontId="17" fillId="0" borderId="10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2" fontId="13" fillId="6" borderId="16" xfId="0" applyNumberFormat="1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4" xfId="0" applyFont="1" applyBorder="1"/>
    <xf numFmtId="0" fontId="13" fillId="0" borderId="0" xfId="0" applyFont="1"/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7" fillId="0" borderId="0" xfId="0" applyFont="1"/>
    <xf numFmtId="0" fontId="20" fillId="7" borderId="31" xfId="0" applyFont="1" applyFill="1" applyBorder="1" applyAlignment="1">
      <alignment horizontal="center" vertical="center" wrapText="1"/>
    </xf>
    <xf numFmtId="0" fontId="20" fillId="7" borderId="27" xfId="0" applyFont="1" applyFill="1" applyBorder="1" applyAlignment="1">
      <alignment horizontal="center" vertical="center" wrapText="1"/>
    </xf>
    <xf numFmtId="0" fontId="20" fillId="7" borderId="2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166" fontId="8" fillId="0" borderId="10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/>
    </xf>
    <xf numFmtId="0" fontId="8" fillId="0" borderId="34" xfId="0" applyFont="1" applyBorder="1"/>
    <xf numFmtId="0" fontId="8" fillId="0" borderId="33" xfId="0" applyFont="1" applyBorder="1"/>
    <xf numFmtId="2" fontId="16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" xfId="0" quotePrefix="1" applyFont="1" applyFill="1" applyBorder="1" applyAlignment="1">
      <alignment horizontal="center"/>
    </xf>
    <xf numFmtId="0" fontId="5" fillId="8" borderId="1" xfId="0" quotePrefix="1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1" xfId="0" quotePrefix="1" applyFont="1" applyFill="1" applyBorder="1" applyAlignment="1">
      <alignment horizontal="center"/>
    </xf>
    <xf numFmtId="0" fontId="5" fillId="8" borderId="12" xfId="0" quotePrefix="1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64" fontId="6" fillId="0" borderId="11" xfId="0" applyNumberFormat="1" applyFont="1" applyFill="1" applyBorder="1" applyAlignment="1">
      <alignment horizontal="center"/>
    </xf>
    <xf numFmtId="164" fontId="6" fillId="4" borderId="20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164" fontId="6" fillId="0" borderId="23" xfId="0" applyNumberFormat="1" applyFont="1" applyFill="1" applyBorder="1" applyAlignment="1">
      <alignment horizontal="center"/>
    </xf>
    <xf numFmtId="0" fontId="6" fillId="0" borderId="32" xfId="0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horizontal="center" vertical="center"/>
    </xf>
    <xf numFmtId="2" fontId="5" fillId="0" borderId="3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2" fontId="2" fillId="11" borderId="15" xfId="0" applyNumberFormat="1" applyFont="1" applyFill="1" applyBorder="1" applyAlignment="1">
      <alignment horizontal="center" vertical="center"/>
    </xf>
    <xf numFmtId="2" fontId="2" fillId="11" borderId="16" xfId="0" applyNumberFormat="1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2" fontId="2" fillId="11" borderId="10" xfId="0" applyNumberFormat="1" applyFont="1" applyFill="1" applyBorder="1" applyAlignment="1">
      <alignment horizontal="center" vertical="center"/>
    </xf>
    <xf numFmtId="2" fontId="2" fillId="11" borderId="8" xfId="0" applyNumberFormat="1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41" xfId="0" applyFont="1" applyBorder="1"/>
    <xf numFmtId="164" fontId="0" fillId="12" borderId="40" xfId="0" applyNumberFormat="1" applyFill="1" applyBorder="1" applyAlignment="1">
      <alignment horizontal="center"/>
    </xf>
    <xf numFmtId="0" fontId="24" fillId="0" borderId="31" xfId="0" applyFont="1" applyBorder="1" applyAlignment="1">
      <alignment horizontal="center" vertical="center"/>
    </xf>
    <xf numFmtId="1" fontId="24" fillId="0" borderId="40" xfId="0" applyNumberFormat="1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27" xfId="0" applyNumberFormat="1" applyFont="1" applyBorder="1" applyAlignment="1">
      <alignment horizontal="center" vertical="center"/>
    </xf>
    <xf numFmtId="2" fontId="24" fillId="0" borderId="28" xfId="0" applyNumberFormat="1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2" fillId="0" borderId="47" xfId="0" applyFont="1" applyBorder="1"/>
    <xf numFmtId="164" fontId="24" fillId="12" borderId="48" xfId="0" applyNumberFormat="1" applyFont="1" applyFill="1" applyBorder="1" applyAlignment="1">
      <alignment horizontal="center"/>
    </xf>
    <xf numFmtId="0" fontId="24" fillId="0" borderId="18" xfId="0" applyFont="1" applyBorder="1" applyAlignment="1">
      <alignment horizontal="center" vertical="center"/>
    </xf>
    <xf numFmtId="1" fontId="24" fillId="0" borderId="48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2" fillId="0" borderId="45" xfId="0" applyFont="1" applyBorder="1"/>
    <xf numFmtId="164" fontId="24" fillId="12" borderId="44" xfId="0" applyNumberFormat="1" applyFont="1" applyFill="1" applyBorder="1" applyAlignment="1">
      <alignment horizontal="center"/>
    </xf>
    <xf numFmtId="0" fontId="24" fillId="0" borderId="9" xfId="0" applyFont="1" applyBorder="1" applyAlignment="1">
      <alignment horizontal="center" vertical="center"/>
    </xf>
    <xf numFmtId="1" fontId="24" fillId="0" borderId="44" xfId="0" applyNumberFormat="1" applyFont="1" applyBorder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2" fontId="24" fillId="0" borderId="8" xfId="0" applyNumberFormat="1" applyFon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/>
    </xf>
    <xf numFmtId="49" fontId="24" fillId="0" borderId="28" xfId="0" applyNumberFormat="1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0" xfId="0" applyFont="1"/>
    <xf numFmtId="165" fontId="0" fillId="0" borderId="0" xfId="0" applyNumberForma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0" fillId="0" borderId="1" xfId="0" applyBorder="1"/>
    <xf numFmtId="0" fontId="30" fillId="0" borderId="1" xfId="0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0" fontId="0" fillId="0" borderId="11" xfId="0" applyBorder="1"/>
    <xf numFmtId="0" fontId="0" fillId="0" borderId="17" xfId="0" applyBorder="1"/>
    <xf numFmtId="0" fontId="0" fillId="0" borderId="51" xfId="0" applyBorder="1"/>
    <xf numFmtId="0" fontId="31" fillId="0" borderId="56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64" fontId="30" fillId="0" borderId="31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2" fontId="24" fillId="0" borderId="57" xfId="0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164" fontId="16" fillId="0" borderId="28" xfId="0" applyNumberFormat="1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168" fontId="16" fillId="0" borderId="41" xfId="0" applyNumberFormat="1" applyFont="1" applyBorder="1" applyAlignment="1">
      <alignment horizontal="center" vertical="center"/>
    </xf>
    <xf numFmtId="168" fontId="16" fillId="0" borderId="40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4" fontId="30" fillId="0" borderId="18" xfId="0" applyNumberFormat="1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2" fontId="24" fillId="0" borderId="51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168" fontId="16" fillId="0" borderId="47" xfId="0" applyNumberFormat="1" applyFont="1" applyBorder="1" applyAlignment="1">
      <alignment horizontal="center" vertical="center"/>
    </xf>
    <xf numFmtId="168" fontId="16" fillId="0" borderId="48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164" fontId="30" fillId="0" borderId="9" xfId="0" applyNumberFormat="1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2" fontId="24" fillId="0" borderId="58" xfId="0" applyNumberFormat="1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0" fontId="38" fillId="0" borderId="59" xfId="0" applyFont="1" applyBorder="1" applyAlignment="1">
      <alignment horizontal="center" vertical="center"/>
    </xf>
    <xf numFmtId="168" fontId="16" fillId="0" borderId="45" xfId="0" applyNumberFormat="1" applyFont="1" applyBorder="1" applyAlignment="1">
      <alignment horizontal="center" vertical="center"/>
    </xf>
    <xf numFmtId="168" fontId="16" fillId="0" borderId="44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horizontal="right"/>
    </xf>
    <xf numFmtId="2" fontId="24" fillId="0" borderId="15" xfId="0" applyNumberFormat="1" applyFont="1" applyBorder="1" applyAlignment="1">
      <alignment horizontal="center"/>
    </xf>
    <xf numFmtId="0" fontId="31" fillId="0" borderId="15" xfId="0" applyFont="1" applyBorder="1" applyAlignment="1">
      <alignment horizontal="right"/>
    </xf>
    <xf numFmtId="165" fontId="24" fillId="0" borderId="15" xfId="0" applyNumberFormat="1" applyFont="1" applyBorder="1" applyAlignment="1">
      <alignment horizontal="center"/>
    </xf>
    <xf numFmtId="0" fontId="36" fillId="0" borderId="15" xfId="0" applyFont="1" applyBorder="1" applyAlignment="1">
      <alignment horizontal="right"/>
    </xf>
    <xf numFmtId="2" fontId="16" fillId="0" borderId="15" xfId="0" applyNumberFormat="1" applyFont="1" applyBorder="1" applyAlignment="1">
      <alignment horizontal="left" vertical="center"/>
    </xf>
    <xf numFmtId="0" fontId="38" fillId="0" borderId="15" xfId="0" applyFont="1" applyBorder="1" applyAlignment="1">
      <alignment horizontal="right"/>
    </xf>
    <xf numFmtId="168" fontId="16" fillId="0" borderId="15" xfId="0" applyNumberFormat="1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168" fontId="5" fillId="0" borderId="2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/>
    </xf>
    <xf numFmtId="0" fontId="0" fillId="0" borderId="60" xfId="0" applyBorder="1"/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4" fontId="14" fillId="0" borderId="16" xfId="0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13" borderId="1" xfId="0" applyFill="1" applyBorder="1"/>
    <xf numFmtId="168" fontId="0" fillId="13" borderId="1" xfId="0" applyNumberForma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168" fontId="0" fillId="0" borderId="31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8" fontId="0" fillId="0" borderId="1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14" fillId="13" borderId="15" xfId="0" applyNumberFormat="1" applyFont="1" applyFill="1" applyBorder="1" applyAlignment="1">
      <alignment horizontal="center"/>
    </xf>
    <xf numFmtId="2" fontId="0" fillId="13" borderId="15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2" fontId="0" fillId="0" borderId="9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35" xfId="0" applyBorder="1"/>
    <xf numFmtId="0" fontId="2" fillId="0" borderId="3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/>
    </xf>
    <xf numFmtId="2" fontId="0" fillId="0" borderId="31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/>
    </xf>
    <xf numFmtId="0" fontId="24" fillId="0" borderId="1" xfId="0" applyFont="1" applyBorder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0" fontId="24" fillId="0" borderId="10" xfId="0" applyFont="1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/>
    </xf>
    <xf numFmtId="1" fontId="24" fillId="0" borderId="57" xfId="0" applyNumberFormat="1" applyFont="1" applyBorder="1" applyAlignment="1">
      <alignment horizontal="center" vertical="center"/>
    </xf>
    <xf numFmtId="1" fontId="24" fillId="0" borderId="51" xfId="0" applyNumberFormat="1" applyFont="1" applyBorder="1" applyAlignment="1">
      <alignment horizontal="center" vertical="center"/>
    </xf>
    <xf numFmtId="1" fontId="24" fillId="0" borderId="5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3" xfId="0" applyBorder="1" applyAlignment="1">
      <alignment horizontal="center"/>
    </xf>
    <xf numFmtId="0" fontId="12" fillId="0" borderId="0" xfId="0" applyFont="1" applyBorder="1" applyAlignment="1">
      <alignment horizontal="center" vertical="center" textRotation="90" wrapText="1"/>
    </xf>
    <xf numFmtId="0" fontId="17" fillId="0" borderId="0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48" xfId="0" applyFont="1" applyBorder="1" applyAlignment="1">
      <alignment horizontal="center" vertical="center" textRotation="90" wrapText="1"/>
    </xf>
    <xf numFmtId="9" fontId="8" fillId="0" borderId="0" xfId="1" applyFont="1" applyAlignment="1">
      <alignment horizontal="center" vertical="center"/>
    </xf>
    <xf numFmtId="9" fontId="42" fillId="0" borderId="0" xfId="1" applyFont="1" applyAlignment="1">
      <alignment horizontal="center" vertical="center"/>
    </xf>
    <xf numFmtId="0" fontId="45" fillId="0" borderId="42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46" fillId="0" borderId="0" xfId="0" applyFont="1"/>
    <xf numFmtId="2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5" fontId="24" fillId="0" borderId="27" xfId="0" applyNumberFormat="1" applyFont="1" applyBorder="1" applyAlignment="1">
      <alignment horizontal="center" vertical="center"/>
    </xf>
    <xf numFmtId="165" fontId="24" fillId="0" borderId="28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0" xfId="0" applyNumberFormat="1" applyFont="1" applyBorder="1" applyAlignment="1">
      <alignment horizontal="center" vertical="center"/>
    </xf>
    <xf numFmtId="165" fontId="24" fillId="0" borderId="8" xfId="0" applyNumberFormat="1" applyFont="1" applyBorder="1" applyAlignment="1">
      <alignment horizontal="center" vertical="center"/>
    </xf>
    <xf numFmtId="165" fontId="0" fillId="0" borderId="0" xfId="0" applyNumberFormat="1"/>
    <xf numFmtId="9" fontId="8" fillId="0" borderId="0" xfId="1" applyNumberFormat="1" applyFont="1" applyAlignment="1">
      <alignment horizontal="center" vertical="center"/>
    </xf>
    <xf numFmtId="169" fontId="24" fillId="0" borderId="0" xfId="0" applyNumberFormat="1" applyFont="1"/>
    <xf numFmtId="168" fontId="24" fillId="0" borderId="1" xfId="0" applyNumberFormat="1" applyFont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168" fontId="24" fillId="0" borderId="10" xfId="0" applyNumberFormat="1" applyFont="1" applyBorder="1" applyAlignment="1">
      <alignment horizontal="center" vertical="center"/>
    </xf>
    <xf numFmtId="168" fontId="24" fillId="0" borderId="8" xfId="0" applyNumberFormat="1" applyFont="1" applyBorder="1" applyAlignment="1">
      <alignment horizontal="center" vertical="center"/>
    </xf>
    <xf numFmtId="168" fontId="24" fillId="0" borderId="27" xfId="0" applyNumberFormat="1" applyFont="1" applyBorder="1" applyAlignment="1">
      <alignment horizontal="center" vertical="center"/>
    </xf>
    <xf numFmtId="168" fontId="24" fillId="0" borderId="28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" fillId="0" borderId="25" xfId="0" applyFont="1" applyBorder="1"/>
    <xf numFmtId="0" fontId="2" fillId="0" borderId="5" xfId="0" applyFont="1" applyBorder="1"/>
    <xf numFmtId="0" fontId="2" fillId="0" borderId="43" xfId="0" applyFont="1" applyBorder="1"/>
    <xf numFmtId="1" fontId="24" fillId="0" borderId="41" xfId="0" applyNumberFormat="1" applyFont="1" applyBorder="1" applyAlignment="1">
      <alignment horizontal="center" vertical="center"/>
    </xf>
    <xf numFmtId="1" fontId="24" fillId="0" borderId="47" xfId="0" applyNumberFormat="1" applyFont="1" applyBorder="1" applyAlignment="1">
      <alignment horizontal="center" vertical="center"/>
    </xf>
    <xf numFmtId="1" fontId="24" fillId="0" borderId="45" xfId="0" applyNumberFormat="1" applyFont="1" applyBorder="1" applyAlignment="1">
      <alignment horizontal="center" vertical="center"/>
    </xf>
    <xf numFmtId="0" fontId="6" fillId="3" borderId="13" xfId="0" applyFont="1" applyFill="1" applyBorder="1" applyAlignment="1" applyProtection="1">
      <alignment horizontal="center"/>
      <protection locked="0"/>
    </xf>
    <xf numFmtId="0" fontId="6" fillId="3" borderId="14" xfId="0" applyFont="1" applyFill="1" applyBorder="1" applyAlignment="1" applyProtection="1">
      <alignment horizontal="center"/>
      <protection locked="0"/>
    </xf>
    <xf numFmtId="0" fontId="6" fillId="3" borderId="18" xfId="0" applyFont="1" applyFill="1" applyBorder="1" applyAlignment="1" applyProtection="1">
      <alignment horizontal="center"/>
      <protection locked="0"/>
    </xf>
    <xf numFmtId="0" fontId="6" fillId="3" borderId="17" xfId="0" applyFont="1" applyFill="1" applyBorder="1" applyAlignment="1" applyProtection="1">
      <alignment horizontal="center"/>
      <protection locked="0"/>
    </xf>
    <xf numFmtId="0" fontId="6" fillId="3" borderId="19" xfId="0" applyFont="1" applyFill="1" applyBorder="1" applyAlignment="1" applyProtection="1">
      <alignment horizontal="center"/>
      <protection locked="0"/>
    </xf>
    <xf numFmtId="0" fontId="6" fillId="3" borderId="20" xfId="0" applyFont="1" applyFill="1" applyBorder="1" applyAlignment="1" applyProtection="1">
      <alignment horizontal="center"/>
      <protection locked="0"/>
    </xf>
    <xf numFmtId="0" fontId="8" fillId="3" borderId="18" xfId="0" applyFont="1" applyFill="1" applyBorder="1" applyAlignment="1" applyProtection="1">
      <alignment horizontal="center"/>
      <protection locked="0"/>
    </xf>
    <xf numFmtId="0" fontId="16" fillId="3" borderId="18" xfId="0" applyFont="1" applyFill="1" applyBorder="1" applyAlignment="1" applyProtection="1">
      <alignment horizontal="center"/>
      <protection locked="0"/>
    </xf>
    <xf numFmtId="0" fontId="8" fillId="3" borderId="9" xfId="0" applyFont="1" applyFill="1" applyBorder="1" applyAlignment="1" applyProtection="1">
      <alignment horizontal="center"/>
      <protection locked="0"/>
    </xf>
    <xf numFmtId="165" fontId="8" fillId="3" borderId="1" xfId="0" applyNumberFormat="1" applyFont="1" applyFill="1" applyBorder="1" applyAlignment="1" applyProtection="1">
      <alignment horizontal="center"/>
      <protection locked="0"/>
    </xf>
    <xf numFmtId="165" fontId="16" fillId="3" borderId="1" xfId="0" applyNumberFormat="1" applyFont="1" applyFill="1" applyBorder="1" applyAlignment="1" applyProtection="1">
      <alignment horizontal="center"/>
      <protection locked="0"/>
    </xf>
    <xf numFmtId="165" fontId="8" fillId="3" borderId="10" xfId="0" applyNumberFormat="1" applyFont="1" applyFill="1" applyBorder="1" applyAlignment="1" applyProtection="1">
      <alignment horizontal="center"/>
      <protection locked="0"/>
    </xf>
    <xf numFmtId="165" fontId="13" fillId="3" borderId="54" xfId="0" applyNumberFormat="1" applyFont="1" applyFill="1" applyBorder="1" applyAlignment="1" applyProtection="1">
      <alignment horizontal="center"/>
      <protection locked="0"/>
    </xf>
    <xf numFmtId="0" fontId="13" fillId="3" borderId="28" xfId="0" applyFont="1" applyFill="1" applyBorder="1" applyAlignment="1" applyProtection="1">
      <alignment horizontal="center"/>
      <protection locked="0"/>
    </xf>
    <xf numFmtId="0" fontId="13" fillId="3" borderId="2" xfId="0" applyFont="1" applyFill="1" applyBorder="1" applyAlignment="1" applyProtection="1">
      <alignment horizontal="center"/>
      <protection locked="0"/>
    </xf>
    <xf numFmtId="0" fontId="13" fillId="3" borderId="8" xfId="0" applyFont="1" applyFill="1" applyBorder="1" applyAlignment="1" applyProtection="1">
      <alignment horizontal="center"/>
      <protection locked="0"/>
    </xf>
    <xf numFmtId="0" fontId="13" fillId="3" borderId="31" xfId="0" applyFont="1" applyFill="1" applyBorder="1" applyAlignment="1" applyProtection="1">
      <alignment horizontal="center"/>
      <protection locked="0"/>
    </xf>
    <xf numFmtId="0" fontId="13" fillId="3" borderId="18" xfId="0" applyFont="1" applyFill="1" applyBorder="1" applyAlignment="1" applyProtection="1">
      <alignment horizontal="center"/>
      <protection locked="0"/>
    </xf>
    <xf numFmtId="0" fontId="13" fillId="3" borderId="9" xfId="0" applyFont="1" applyFill="1" applyBorder="1" applyAlignment="1" applyProtection="1">
      <alignment horizontal="center"/>
      <protection locked="0"/>
    </xf>
    <xf numFmtId="2" fontId="16" fillId="3" borderId="9" xfId="0" applyNumberFormat="1" applyFont="1" applyFill="1" applyBorder="1" applyAlignment="1" applyProtection="1">
      <alignment horizontal="center"/>
      <protection locked="0"/>
    </xf>
    <xf numFmtId="0" fontId="0" fillId="10" borderId="13" xfId="0" applyFill="1" applyBorder="1" applyAlignment="1" applyProtection="1">
      <alignment horizontal="center" vertical="center"/>
      <protection locked="0"/>
    </xf>
    <xf numFmtId="0" fontId="0" fillId="10" borderId="18" xfId="0" applyFill="1" applyBorder="1" applyAlignment="1" applyProtection="1">
      <alignment horizontal="center" vertical="center"/>
      <protection locked="0"/>
    </xf>
    <xf numFmtId="0" fontId="0" fillId="10" borderId="9" xfId="0" applyFill="1" applyBorder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2" fontId="0" fillId="10" borderId="41" xfId="0" applyNumberFormat="1" applyFill="1" applyBorder="1" applyAlignment="1" applyProtection="1">
      <alignment horizontal="center" vertical="center"/>
      <protection locked="0"/>
    </xf>
    <xf numFmtId="2" fontId="0" fillId="10" borderId="47" xfId="0" applyNumberFormat="1" applyFill="1" applyBorder="1" applyAlignment="1" applyProtection="1">
      <alignment horizontal="center" vertical="center"/>
      <protection locked="0"/>
    </xf>
    <xf numFmtId="2" fontId="0" fillId="10" borderId="45" xfId="0" applyNumberFormat="1" applyFill="1" applyBorder="1" applyAlignment="1" applyProtection="1">
      <alignment horizontal="center" vertical="center"/>
      <protection locked="0"/>
    </xf>
    <xf numFmtId="165" fontId="0" fillId="10" borderId="27" xfId="0" applyNumberFormat="1" applyFill="1" applyBorder="1" applyAlignment="1" applyProtection="1">
      <alignment horizontal="center" vertical="center"/>
      <protection locked="0"/>
    </xf>
    <xf numFmtId="165" fontId="0" fillId="10" borderId="10" xfId="0" applyNumberFormat="1" applyFill="1" applyBorder="1" applyAlignment="1" applyProtection="1">
      <alignment horizontal="center" vertical="center"/>
      <protection locked="0"/>
    </xf>
    <xf numFmtId="164" fontId="24" fillId="10" borderId="57" xfId="0" applyNumberFormat="1" applyFont="1" applyFill="1" applyBorder="1" applyAlignment="1" applyProtection="1">
      <alignment horizontal="center" vertical="center"/>
      <protection locked="0"/>
    </xf>
    <xf numFmtId="164" fontId="24" fillId="10" borderId="51" xfId="0" applyNumberFormat="1" applyFont="1" applyFill="1" applyBorder="1" applyAlignment="1" applyProtection="1">
      <alignment horizontal="center" vertical="center"/>
      <protection locked="0"/>
    </xf>
    <xf numFmtId="164" fontId="24" fillId="10" borderId="58" xfId="0" applyNumberFormat="1" applyFont="1" applyFill="1" applyBorder="1" applyAlignment="1" applyProtection="1">
      <alignment horizontal="center" vertical="center"/>
      <protection locked="0"/>
    </xf>
    <xf numFmtId="164" fontId="24" fillId="10" borderId="28" xfId="0" applyNumberFormat="1" applyFont="1" applyFill="1" applyBorder="1" applyAlignment="1" applyProtection="1">
      <alignment horizontal="center" vertical="center"/>
      <protection locked="0"/>
    </xf>
    <xf numFmtId="164" fontId="24" fillId="10" borderId="2" xfId="0" applyNumberFormat="1" applyFont="1" applyFill="1" applyBorder="1" applyAlignment="1" applyProtection="1">
      <alignment horizontal="center" vertical="center"/>
      <protection locked="0"/>
    </xf>
    <xf numFmtId="164" fontId="24" fillId="10" borderId="8" xfId="0" applyNumberFormat="1" applyFont="1" applyFill="1" applyBorder="1" applyAlignment="1" applyProtection="1">
      <alignment horizontal="center" vertical="center"/>
      <protection locked="0"/>
    </xf>
    <xf numFmtId="165" fontId="0" fillId="3" borderId="16" xfId="0" applyNumberFormat="1" applyFill="1" applyBorder="1" applyAlignment="1" applyProtection="1">
      <alignment horizontal="center"/>
      <protection locked="0"/>
    </xf>
    <xf numFmtId="165" fontId="0" fillId="3" borderId="2" xfId="0" applyNumberFormat="1" applyFill="1" applyBorder="1" applyAlignment="1" applyProtection="1">
      <alignment horizontal="center"/>
      <protection locked="0"/>
    </xf>
    <xf numFmtId="165" fontId="0" fillId="3" borderId="8" xfId="0" applyNumberFormat="1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43" xfId="0" applyFill="1" applyBorder="1" applyAlignment="1" applyProtection="1">
      <alignment horizontal="center"/>
      <protection locked="0"/>
    </xf>
    <xf numFmtId="0" fontId="0" fillId="6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2" fillId="0" borderId="0" xfId="0" applyFont="1"/>
    <xf numFmtId="0" fontId="1" fillId="0" borderId="43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5" fillId="0" borderId="68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13" fillId="6" borderId="66" xfId="0" applyFont="1" applyFill="1" applyBorder="1" applyAlignment="1" applyProtection="1">
      <alignment horizontal="center"/>
      <protection locked="0"/>
    </xf>
    <xf numFmtId="2" fontId="49" fillId="0" borderId="29" xfId="0" applyNumberFormat="1" applyFont="1" applyBorder="1" applyAlignment="1">
      <alignment horizontal="center"/>
    </xf>
    <xf numFmtId="2" fontId="49" fillId="0" borderId="30" xfId="0" applyNumberFormat="1" applyFont="1" applyBorder="1" applyAlignment="1">
      <alignment horizontal="center"/>
    </xf>
    <xf numFmtId="2" fontId="49" fillId="0" borderId="24" xfId="0" applyNumberFormat="1" applyFont="1" applyBorder="1" applyAlignment="1">
      <alignment horizontal="center"/>
    </xf>
    <xf numFmtId="0" fontId="5" fillId="0" borderId="24" xfId="0" applyFont="1" applyFill="1" applyBorder="1" applyAlignment="1">
      <alignment horizontal="center" vertical="center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5" fillId="6" borderId="24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2" fillId="0" borderId="23" xfId="0" applyFont="1" applyBorder="1" applyAlignment="1">
      <alignment horizontal="center" wrapText="1"/>
    </xf>
    <xf numFmtId="0" fontId="2" fillId="0" borderId="62" xfId="0" applyFont="1" applyBorder="1" applyAlignment="1">
      <alignment horizontal="center" vertical="center" wrapText="1"/>
    </xf>
    <xf numFmtId="0" fontId="50" fillId="0" borderId="60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50" fillId="0" borderId="60" xfId="0" applyFon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2" fontId="0" fillId="0" borderId="41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164" fontId="6" fillId="0" borderId="69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6" fillId="0" borderId="5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0" borderId="47" xfId="0" quotePrefix="1" applyFont="1" applyBorder="1" applyAlignment="1">
      <alignment horizontal="center"/>
    </xf>
    <xf numFmtId="0" fontId="6" fillId="0" borderId="48" xfId="0" quotePrefix="1" applyFont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71" xfId="0" quotePrefix="1" applyFont="1" applyBorder="1" applyAlignment="1">
      <alignment horizontal="center"/>
    </xf>
    <xf numFmtId="0" fontId="6" fillId="0" borderId="70" xfId="0" quotePrefix="1" applyFont="1" applyBorder="1" applyAlignment="1">
      <alignment horizontal="center"/>
    </xf>
    <xf numFmtId="0" fontId="6" fillId="0" borderId="7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164" fontId="6" fillId="0" borderId="59" xfId="0" applyNumberFormat="1" applyFont="1" applyBorder="1" applyAlignment="1">
      <alignment horizontal="center"/>
    </xf>
    <xf numFmtId="0" fontId="6" fillId="0" borderId="5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2" fontId="49" fillId="0" borderId="61" xfId="0" applyNumberFormat="1" applyFont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5" xfId="0" applyFill="1" applyBorder="1" applyAlignment="1" applyProtection="1">
      <alignment horizontal="center"/>
      <protection locked="0"/>
    </xf>
    <xf numFmtId="0" fontId="0" fillId="0" borderId="43" xfId="0" applyFill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1" fillId="0" borderId="0" xfId="2"/>
    <xf numFmtId="0" fontId="4" fillId="0" borderId="19" xfId="2" applyFont="1" applyBorder="1" applyAlignment="1">
      <alignment horizontal="center" vertical="center" wrapText="1"/>
    </xf>
    <xf numFmtId="0" fontId="4" fillId="0" borderId="73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 wrapText="1"/>
    </xf>
    <xf numFmtId="0" fontId="5" fillId="5" borderId="6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15" xfId="2" applyFont="1" applyFill="1" applyBorder="1" applyAlignment="1">
      <alignment horizontal="center" vertical="center" wrapText="1"/>
    </xf>
    <xf numFmtId="0" fontId="6" fillId="0" borderId="15" xfId="2" applyFont="1" applyBorder="1" applyAlignment="1">
      <alignment horizontal="center"/>
    </xf>
    <xf numFmtId="164" fontId="6" fillId="0" borderId="15" xfId="2" applyNumberFormat="1" applyFont="1" applyBorder="1" applyAlignment="1">
      <alignment horizontal="center"/>
    </xf>
    <xf numFmtId="164" fontId="6" fillId="0" borderId="69" xfId="2" applyNumberFormat="1" applyFont="1" applyBorder="1" applyAlignment="1">
      <alignment horizontal="center"/>
    </xf>
    <xf numFmtId="0" fontId="4" fillId="0" borderId="37" xfId="2" applyNumberFormat="1" applyFont="1" applyBorder="1" applyAlignment="1">
      <alignment horizontal="center" wrapText="1"/>
    </xf>
    <xf numFmtId="0" fontId="4" fillId="0" borderId="38" xfId="2" applyNumberFormat="1" applyFont="1" applyBorder="1" applyAlignment="1">
      <alignment horizontal="center" wrapText="1"/>
    </xf>
    <xf numFmtId="0" fontId="4" fillId="0" borderId="39" xfId="2" applyNumberFormat="1" applyFont="1" applyBorder="1" applyAlignment="1">
      <alignment horizontal="center" wrapText="1"/>
    </xf>
    <xf numFmtId="0" fontId="5" fillId="0" borderId="5" xfId="2" applyFont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164" fontId="6" fillId="0" borderId="51" xfId="2" applyNumberFormat="1" applyFont="1" applyBorder="1" applyAlignment="1">
      <alignment horizontal="center"/>
    </xf>
    <xf numFmtId="0" fontId="4" fillId="0" borderId="34" xfId="2" applyNumberFormat="1" applyFont="1" applyBorder="1" applyAlignment="1">
      <alignment horizontal="center" wrapText="1"/>
    </xf>
    <xf numFmtId="0" fontId="4" fillId="0" borderId="0" xfId="2" applyNumberFormat="1" applyFont="1" applyBorder="1" applyAlignment="1">
      <alignment horizontal="center" wrapText="1"/>
    </xf>
    <xf numFmtId="0" fontId="4" fillId="0" borderId="33" xfId="2" applyNumberFormat="1" applyFont="1" applyBorder="1" applyAlignment="1">
      <alignment horizontal="center" wrapText="1"/>
    </xf>
    <xf numFmtId="0" fontId="5" fillId="5" borderId="5" xfId="2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/>
    </xf>
    <xf numFmtId="0" fontId="5" fillId="5" borderId="5" xfId="2" applyFont="1" applyFill="1" applyBorder="1" applyAlignment="1">
      <alignment horizontal="center"/>
    </xf>
    <xf numFmtId="0" fontId="6" fillId="3" borderId="18" xfId="2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5" fillId="0" borderId="5" xfId="2" applyFont="1" applyBorder="1" applyAlignment="1">
      <alignment horizontal="center"/>
    </xf>
    <xf numFmtId="0" fontId="2" fillId="0" borderId="0" xfId="2" applyFont="1"/>
    <xf numFmtId="0" fontId="1" fillId="0" borderId="43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164" fontId="6" fillId="0" borderId="10" xfId="2" applyNumberFormat="1" applyFont="1" applyBorder="1" applyAlignment="1">
      <alignment horizontal="center"/>
    </xf>
    <xf numFmtId="0" fontId="6" fillId="0" borderId="58" xfId="2" applyFont="1" applyBorder="1" applyAlignment="1">
      <alignment horizontal="center" vertical="center"/>
    </xf>
    <xf numFmtId="0" fontId="2" fillId="0" borderId="61" xfId="2" applyFont="1" applyBorder="1" applyAlignment="1">
      <alignment horizontal="center"/>
    </xf>
    <xf numFmtId="2" fontId="49" fillId="0" borderId="21" xfId="2" applyNumberFormat="1" applyFont="1" applyBorder="1" applyAlignment="1">
      <alignment horizontal="center"/>
    </xf>
    <xf numFmtId="2" fontId="49" fillId="0" borderId="32" xfId="2" applyNumberFormat="1" applyFont="1" applyBorder="1" applyAlignment="1">
      <alignment horizontal="center"/>
    </xf>
    <xf numFmtId="2" fontId="49" fillId="0" borderId="22" xfId="2" applyNumberFormat="1" applyFont="1" applyBorder="1" applyAlignment="1">
      <alignment horizont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0" borderId="27" xfId="2" applyFont="1" applyBorder="1" applyAlignment="1">
      <alignment horizontal="center"/>
    </xf>
    <xf numFmtId="164" fontId="6" fillId="0" borderId="27" xfId="2" applyNumberFormat="1" applyFont="1" applyBorder="1" applyAlignment="1">
      <alignment horizontal="center"/>
    </xf>
    <xf numFmtId="164" fontId="6" fillId="0" borderId="57" xfId="2" applyNumberFormat="1" applyFont="1" applyBorder="1" applyAlignment="1">
      <alignment horizontal="center"/>
    </xf>
    <xf numFmtId="164" fontId="6" fillId="14" borderId="74" xfId="2" applyNumberFormat="1" applyFont="1" applyFill="1" applyBorder="1" applyAlignment="1">
      <alignment horizontal="center"/>
    </xf>
    <xf numFmtId="164" fontId="6" fillId="14" borderId="47" xfId="2" applyNumberFormat="1" applyFont="1" applyFill="1" applyBorder="1" applyAlignment="1">
      <alignment horizontal="center"/>
    </xf>
    <xf numFmtId="0" fontId="6" fillId="0" borderId="10" xfId="2" applyFont="1" applyBorder="1" applyAlignment="1">
      <alignment horizontal="center" vertical="center"/>
    </xf>
    <xf numFmtId="0" fontId="6" fillId="14" borderId="45" xfId="2" applyFont="1" applyFill="1" applyBorder="1" applyAlignment="1">
      <alignment horizontal="center" vertical="center"/>
    </xf>
    <xf numFmtId="0" fontId="51" fillId="0" borderId="0" xfId="2" applyBorder="1"/>
    <xf numFmtId="0" fontId="51" fillId="0" borderId="33" xfId="2" applyBorder="1"/>
    <xf numFmtId="2" fontId="49" fillId="0" borderId="64" xfId="2" applyNumberFormat="1" applyFont="1" applyBorder="1" applyAlignment="1">
      <alignment horizontal="center"/>
    </xf>
    <xf numFmtId="0" fontId="5" fillId="3" borderId="24" xfId="2" applyFont="1" applyFill="1" applyBorder="1" applyAlignment="1" applyProtection="1">
      <alignment horizontal="center" vertical="center"/>
      <protection locked="0"/>
    </xf>
    <xf numFmtId="0" fontId="5" fillId="0" borderId="24" xfId="2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2" fontId="49" fillId="0" borderId="64" xfId="0" applyNumberFormat="1" applyFont="1" applyBorder="1" applyAlignment="1">
      <alignment horizontal="center"/>
    </xf>
    <xf numFmtId="2" fontId="49" fillId="0" borderId="36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49" fillId="0" borderId="21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2" fontId="49" fillId="0" borderId="37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2" fontId="48" fillId="0" borderId="29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/>
    <xf numFmtId="0" fontId="0" fillId="0" borderId="36" xfId="0" applyBorder="1" applyAlignment="1"/>
    <xf numFmtId="2" fontId="49" fillId="0" borderId="21" xfId="2" applyNumberFormat="1" applyFont="1" applyBorder="1" applyAlignment="1">
      <alignment horizontal="center"/>
    </xf>
    <xf numFmtId="2" fontId="49" fillId="0" borderId="32" xfId="2" applyNumberFormat="1" applyFont="1" applyBorder="1" applyAlignment="1">
      <alignment horizontal="center"/>
    </xf>
    <xf numFmtId="0" fontId="5" fillId="0" borderId="2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4" fillId="0" borderId="57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26" xfId="2" applyFont="1" applyBorder="1" applyAlignment="1">
      <alignment horizontal="center" vertical="center" wrapText="1"/>
    </xf>
    <xf numFmtId="0" fontId="1" fillId="0" borderId="29" xfId="2" applyFont="1" applyBorder="1" applyAlignment="1">
      <alignment horizontal="center" vertical="center" wrapText="1"/>
    </xf>
    <xf numFmtId="0" fontId="1" fillId="0" borderId="30" xfId="2" applyFont="1" applyBorder="1" applyAlignment="1">
      <alignment horizontal="center" vertical="center" wrapText="1"/>
    </xf>
    <xf numFmtId="0" fontId="1" fillId="0" borderId="30" xfId="2" applyFont="1" applyBorder="1" applyAlignment="1">
      <alignment horizontal="left" vertical="center"/>
    </xf>
    <xf numFmtId="0" fontId="1" fillId="0" borderId="24" xfId="2" applyFont="1" applyBorder="1" applyAlignment="1">
      <alignment horizontal="left" vertical="center"/>
    </xf>
    <xf numFmtId="0" fontId="1" fillId="0" borderId="13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16" xfId="2" applyFont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0" borderId="2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/>
    </xf>
    <xf numFmtId="0" fontId="1" fillId="0" borderId="15" xfId="2" applyFont="1" applyBorder="1" applyAlignment="1">
      <alignment horizontal="center"/>
    </xf>
    <xf numFmtId="0" fontId="1" fillId="0" borderId="16" xfId="2" applyFont="1" applyBorder="1" applyAlignment="1">
      <alignment horizontal="center"/>
    </xf>
    <xf numFmtId="0" fontId="1" fillId="0" borderId="20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5" fillId="0" borderId="18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2" fontId="48" fillId="0" borderId="29" xfId="2" applyNumberFormat="1" applyFont="1" applyBorder="1" applyAlignment="1">
      <alignment horizontal="center"/>
    </xf>
    <xf numFmtId="0" fontId="1" fillId="0" borderId="30" xfId="2" applyFont="1" applyBorder="1" applyAlignment="1">
      <alignment horizontal="center"/>
    </xf>
    <xf numFmtId="0" fontId="5" fillId="0" borderId="11" xfId="2" applyFont="1" applyBorder="1" applyAlignment="1">
      <alignment horizontal="center" vertical="center" wrapText="1"/>
    </xf>
    <xf numFmtId="0" fontId="5" fillId="0" borderId="51" xfId="2" applyFont="1" applyBorder="1" applyAlignment="1">
      <alignment horizontal="center" vertical="center" wrapText="1"/>
    </xf>
    <xf numFmtId="0" fontId="5" fillId="0" borderId="73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2" fontId="49" fillId="0" borderId="64" xfId="2" applyNumberFormat="1" applyFont="1" applyBorder="1" applyAlignment="1">
      <alignment horizontal="center"/>
    </xf>
    <xf numFmtId="2" fontId="49" fillId="0" borderId="36" xfId="2" applyNumberFormat="1" applyFont="1" applyBorder="1" applyAlignment="1">
      <alignment horizontal="center"/>
    </xf>
    <xf numFmtId="0" fontId="1" fillId="0" borderId="65" xfId="2" applyFont="1" applyBorder="1" applyAlignment="1">
      <alignment horizontal="center" vertical="center" wrapText="1"/>
    </xf>
    <xf numFmtId="0" fontId="1" fillId="0" borderId="31" xfId="2" applyFont="1" applyBorder="1" applyAlignment="1">
      <alignment horizontal="center" vertical="center" wrapText="1"/>
    </xf>
    <xf numFmtId="0" fontId="1" fillId="0" borderId="27" xfId="2" applyFont="1" applyBorder="1" applyAlignment="1">
      <alignment horizontal="center" vertical="center" wrapText="1"/>
    </xf>
    <xf numFmtId="0" fontId="1" fillId="0" borderId="57" xfId="2" applyFont="1" applyBorder="1" applyAlignment="1">
      <alignment horizontal="center" vertical="center" wrapText="1"/>
    </xf>
    <xf numFmtId="0" fontId="1" fillId="0" borderId="51" xfId="2" applyFont="1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/>
    </xf>
    <xf numFmtId="0" fontId="1" fillId="0" borderId="40" xfId="2" applyFont="1" applyBorder="1" applyAlignment="1">
      <alignment horizontal="center"/>
    </xf>
    <xf numFmtId="0" fontId="1" fillId="0" borderId="42" xfId="2" applyFont="1" applyBorder="1" applyAlignment="1">
      <alignment horizontal="center"/>
    </xf>
    <xf numFmtId="0" fontId="1" fillId="0" borderId="7" xfId="2" applyFont="1" applyBorder="1" applyAlignment="1">
      <alignment horizontal="center"/>
    </xf>
    <xf numFmtId="0" fontId="1" fillId="0" borderId="71" xfId="2" applyFont="1" applyBorder="1" applyAlignment="1">
      <alignment horizontal="center"/>
    </xf>
    <xf numFmtId="0" fontId="1" fillId="0" borderId="50" xfId="2" applyFont="1" applyBorder="1" applyAlignment="1">
      <alignment horizontal="center"/>
    </xf>
    <xf numFmtId="0" fontId="5" fillId="14" borderId="41" xfId="2" applyFont="1" applyFill="1" applyBorder="1" applyAlignment="1">
      <alignment horizontal="center" vertical="center" wrapText="1"/>
    </xf>
    <xf numFmtId="0" fontId="5" fillId="14" borderId="45" xfId="2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/>
    </xf>
    <xf numFmtId="0" fontId="19" fillId="0" borderId="22" xfId="0" applyFont="1" applyFill="1" applyBorder="1" applyAlignment="1">
      <alignment horizontal="center"/>
    </xf>
    <xf numFmtId="0" fontId="19" fillId="0" borderId="32" xfId="0" applyFont="1" applyFill="1" applyBorder="1" applyAlignment="1">
      <alignment horizontal="center"/>
    </xf>
    <xf numFmtId="0" fontId="42" fillId="0" borderId="0" xfId="0" applyFont="1" applyAlignment="1"/>
    <xf numFmtId="0" fontId="43" fillId="0" borderId="0" xfId="0" applyFont="1" applyAlignment="1"/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3" fillId="0" borderId="52" xfId="0" applyFont="1" applyBorder="1" applyAlignment="1">
      <alignment horizontal="left"/>
    </xf>
    <xf numFmtId="0" fontId="13" fillId="0" borderId="65" xfId="0" applyFont="1" applyBorder="1" applyAlignment="1">
      <alignment horizontal="left"/>
    </xf>
    <xf numFmtId="0" fontId="8" fillId="0" borderId="18" xfId="0" applyFont="1" applyBorder="1"/>
    <xf numFmtId="0" fontId="14" fillId="0" borderId="1" xfId="0" applyFont="1" applyBorder="1"/>
    <xf numFmtId="164" fontId="15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wrapText="1"/>
    </xf>
    <xf numFmtId="0" fontId="9" fillId="0" borderId="30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10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8" fillId="0" borderId="31" xfId="0" applyFont="1" applyBorder="1"/>
    <xf numFmtId="0" fontId="14" fillId="0" borderId="27" xfId="0" applyFont="1" applyBorder="1"/>
    <xf numFmtId="164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" fillId="0" borderId="0" xfId="0" applyFont="1" applyAlignment="1"/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3" fillId="0" borderId="68" xfId="0" applyFont="1" applyBorder="1"/>
    <xf numFmtId="0" fontId="13" fillId="0" borderId="67" xfId="0" applyFont="1" applyBorder="1"/>
    <xf numFmtId="0" fontId="8" fillId="0" borderId="9" xfId="0" applyFont="1" applyBorder="1"/>
    <xf numFmtId="0" fontId="14" fillId="0" borderId="10" xfId="0" applyFont="1" applyBorder="1"/>
    <xf numFmtId="164" fontId="15" fillId="0" borderId="10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9" borderId="35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39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5" fillId="0" borderId="56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 shrinkToFit="1"/>
    </xf>
    <xf numFmtId="0" fontId="2" fillId="0" borderId="68" xfId="0" applyFont="1" applyBorder="1" applyAlignment="1">
      <alignment horizontal="center" vertical="center" wrapText="1" shrinkToFit="1"/>
    </xf>
    <xf numFmtId="0" fontId="2" fillId="0" borderId="65" xfId="0" applyFont="1" applyBorder="1" applyAlignment="1">
      <alignment horizontal="center" vertical="center" wrapText="1" shrinkToFit="1"/>
    </xf>
    <xf numFmtId="0" fontId="2" fillId="0" borderId="67" xfId="0" applyFont="1" applyBorder="1" applyAlignment="1">
      <alignment horizontal="center" vertical="center" wrapText="1" shrinkToFit="1"/>
    </xf>
    <xf numFmtId="0" fontId="2" fillId="0" borderId="56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164" fontId="5" fillId="0" borderId="41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3" borderId="28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2" fontId="5" fillId="0" borderId="50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3" borderId="8" xfId="0" applyFill="1" applyBorder="1" applyAlignment="1" applyProtection="1">
      <alignment horizontal="center" vertical="center"/>
      <protection locked="0"/>
    </xf>
    <xf numFmtId="0" fontId="45" fillId="0" borderId="31" xfId="0" applyFont="1" applyBorder="1" applyAlignment="1">
      <alignment horizontal="center" vertical="center"/>
    </xf>
    <xf numFmtId="0" fontId="0" fillId="0" borderId="27" xfId="0" applyBorder="1" applyAlignment="1"/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/>
    <xf numFmtId="0" fontId="5" fillId="0" borderId="1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10" xfId="0" applyBorder="1" applyAlignment="1"/>
    <xf numFmtId="0" fontId="2" fillId="0" borderId="54" xfId="0" applyFont="1" applyBorder="1" applyAlignment="1">
      <alignment horizontal="center" vertical="center" wrapText="1" shrinkToFit="1"/>
    </xf>
    <xf numFmtId="0" fontId="2" fillId="0" borderId="66" xfId="0" applyFont="1" applyBorder="1" applyAlignment="1">
      <alignment horizontal="center" vertical="center" wrapText="1" shrinkToFit="1"/>
    </xf>
    <xf numFmtId="0" fontId="1" fillId="0" borderId="31" xfId="0" applyFont="1" applyBorder="1" applyAlignment="1">
      <alignment horizontal="center"/>
    </xf>
    <xf numFmtId="0" fontId="0" fillId="0" borderId="28" xfId="0" applyBorder="1" applyAlignment="1"/>
    <xf numFmtId="0" fontId="0" fillId="0" borderId="51" xfId="0" applyBorder="1" applyAlignment="1">
      <alignment horizontal="center"/>
    </xf>
    <xf numFmtId="0" fontId="0" fillId="0" borderId="17" xfId="0" applyBorder="1" applyAlignment="1">
      <alignment horizontal="center"/>
    </xf>
    <xf numFmtId="0" fontId="29" fillId="0" borderId="21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9" fontId="30" fillId="0" borderId="52" xfId="0" applyNumberFormat="1" applyFont="1" applyBorder="1" applyAlignment="1">
      <alignment horizontal="center" vertical="center"/>
    </xf>
    <xf numFmtId="9" fontId="30" fillId="0" borderId="53" xfId="0" applyNumberFormat="1" applyFont="1" applyBorder="1" applyAlignment="1">
      <alignment horizontal="center" vertical="center"/>
    </xf>
    <xf numFmtId="9" fontId="30" fillId="0" borderId="54" xfId="0" applyNumberFormat="1" applyFont="1" applyBorder="1" applyAlignment="1">
      <alignment horizontal="center" vertical="center"/>
    </xf>
    <xf numFmtId="9" fontId="30" fillId="0" borderId="55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/>
    </xf>
    <xf numFmtId="0" fontId="0" fillId="0" borderId="1" xfId="0" applyBorder="1"/>
    <xf numFmtId="0" fontId="24" fillId="0" borderId="9" xfId="0" applyFont="1" applyBorder="1" applyAlignment="1">
      <alignment horizontal="center"/>
    </xf>
    <xf numFmtId="0" fontId="0" fillId="0" borderId="10" xfId="0" applyBorder="1"/>
    <xf numFmtId="0" fontId="40" fillId="0" borderId="21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24" fillId="0" borderId="13" xfId="0" applyFont="1" applyBorder="1" applyAlignment="1">
      <alignment horizontal="center"/>
    </xf>
    <xf numFmtId="0" fontId="0" fillId="0" borderId="15" xfId="0" applyBorder="1"/>
    <xf numFmtId="0" fontId="1" fillId="0" borderId="56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0" fillId="0" borderId="68" xfId="0" applyBorder="1" applyAlignment="1">
      <alignment horizontal="center"/>
    </xf>
    <xf numFmtId="0" fontId="1" fillId="0" borderId="54" xfId="0" applyFont="1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/>
    <xf numFmtId="0" fontId="0" fillId="0" borderId="42" xfId="0" applyBorder="1" applyAlignment="1"/>
    <xf numFmtId="0" fontId="2" fillId="0" borderId="31" xfId="0" applyFont="1" applyBorder="1" applyAlignment="1">
      <alignment horizontal="center" vertical="center" wrapText="1" shrinkToFit="1"/>
    </xf>
    <xf numFmtId="0" fontId="24" fillId="0" borderId="9" xfId="0" applyFont="1" applyBorder="1" applyAlignment="1">
      <alignment horizontal="center" vertical="center" wrapText="1" shrinkToFit="1"/>
    </xf>
    <xf numFmtId="0" fontId="1" fillId="0" borderId="42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 shrinkToFit="1"/>
    </xf>
    <xf numFmtId="0" fontId="24" fillId="0" borderId="10" xfId="0" applyFont="1" applyBorder="1" applyAlignment="1">
      <alignment horizontal="center" vertical="center" wrapText="1" shrinkToFit="1"/>
    </xf>
    <xf numFmtId="0" fontId="2" fillId="0" borderId="28" xfId="0" applyFont="1" applyBorder="1" applyAlignment="1">
      <alignment horizontal="center" vertical="center" wrapText="1" shrinkToFit="1"/>
    </xf>
    <xf numFmtId="0" fontId="24" fillId="0" borderId="8" xfId="0" applyFont="1" applyBorder="1" applyAlignment="1">
      <alignment horizontal="center" vertical="center" wrapText="1" shrinkToFit="1"/>
    </xf>
    <xf numFmtId="0" fontId="27" fillId="0" borderId="31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45" fillId="0" borderId="41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52" fillId="0" borderId="25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43" xfId="2" applyFont="1" applyBorder="1" applyAlignment="1">
      <alignment horizontal="center" vertical="center" wrapText="1"/>
    </xf>
    <xf numFmtId="0" fontId="50" fillId="0" borderId="6" xfId="2" applyFont="1" applyBorder="1" applyAlignment="1">
      <alignment horizontal="center" vertical="center" wrapText="1"/>
    </xf>
    <xf numFmtId="0" fontId="50" fillId="0" borderId="5" xfId="2" applyFont="1" applyBorder="1" applyAlignment="1">
      <alignment horizontal="center" vertical="center" wrapText="1"/>
    </xf>
    <xf numFmtId="0" fontId="50" fillId="0" borderId="43" xfId="2" applyFont="1" applyBorder="1" applyAlignment="1">
      <alignment horizontal="center" vertical="center" wrapText="1"/>
    </xf>
  </cellXfs>
  <cellStyles count="3">
    <cellStyle name="Normal" xfId="0" builtinId="0"/>
    <cellStyle name="Normal 2" xfId="2" xr:uid="{04D40093-0A9F-468F-9302-4A58F12F717C}"/>
    <cellStyle name="Porcentagem" xfId="1" builtinId="5"/>
  </cellStyles>
  <dxfs count="32">
    <dxf>
      <font>
        <b/>
        <i val="0"/>
        <color rgb="FFFF0000"/>
      </font>
    </dxf>
    <dxf>
      <font>
        <b/>
        <i val="0"/>
        <color theme="1" tint="0.499984740745262"/>
      </font>
      <fill>
        <patternFill>
          <bgColor theme="1" tint="0.499984740745262"/>
        </patternFill>
      </fill>
    </dxf>
    <dxf>
      <font>
        <b/>
        <i val="0"/>
        <color theme="1" tint="0.499984740745262"/>
      </font>
      <fill>
        <patternFill>
          <bgColor theme="1" tint="0.499984740745262"/>
        </patternFill>
      </fill>
    </dxf>
    <dxf>
      <font>
        <b/>
        <i val="0"/>
        <color theme="1" tint="0.499984740745262"/>
      </font>
      <fill>
        <patternFill>
          <bgColor theme="1" tint="0.499984740745262"/>
        </patternFill>
      </fill>
    </dxf>
    <dxf>
      <font>
        <b/>
        <i val="0"/>
        <color theme="1" tint="0.499984740745262"/>
      </font>
      <fill>
        <patternFill>
          <bgColor theme="1" tint="0.499984740745262"/>
        </patternFill>
      </fill>
    </dxf>
    <dxf>
      <font>
        <b/>
        <i val="0"/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MESCLA GRANULOMÉTRICA DAS AREIAS</a:t>
            </a:r>
          </a:p>
        </c:rich>
      </c:tx>
      <c:layout>
        <c:manualLayout>
          <c:xMode val="edge"/>
          <c:yMode val="edge"/>
          <c:x val="0.26657259842519687"/>
          <c:y val="1.29310532859292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832379621811E-2"/>
          <c:y val="7.1839080459770097E-2"/>
          <c:w val="0.91121026074016087"/>
          <c:h val="0.775143678160919"/>
        </c:manualLayout>
      </c:layout>
      <c:scatterChart>
        <c:scatterStyle val="smoothMarker"/>
        <c:varyColors val="0"/>
        <c:ser>
          <c:idx val="0"/>
          <c:order val="0"/>
          <c:tx>
            <c:v>Zona Ideal</c:v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 Areia'!$A$6:$A$15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'1 Areia'!$F$6:$F$15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1.2931034482758621</c:v>
                </c:pt>
                <c:pt idx="3">
                  <c:v>10.431034482758619</c:v>
                </c:pt>
                <c:pt idx="4">
                  <c:v>27.931034482758619</c:v>
                </c:pt>
                <c:pt idx="5">
                  <c:v>45.689655172413794</c:v>
                </c:pt>
                <c:pt idx="6">
                  <c:v>81.724137931034477</c:v>
                </c:pt>
                <c:pt idx="7">
                  <c:v>98.017241379310335</c:v>
                </c:pt>
                <c:pt idx="8">
                  <c:v>99.655172413793096</c:v>
                </c:pt>
                <c:pt idx="9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07-4039-8E72-AB66EBF48E8F}"/>
            </c:ext>
          </c:extLst>
        </c:ser>
        <c:ser>
          <c:idx val="1"/>
          <c:order val="1"/>
          <c:tx>
            <c:v>Zona Útil Inferior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'1 Areia'!$A$6:$A$15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'1 Areia'!$G$6:$G$15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07-4039-8E72-AB66EBF48E8F}"/>
            </c:ext>
          </c:extLst>
        </c:ser>
        <c:ser>
          <c:idx val="2"/>
          <c:order val="2"/>
          <c:tx>
            <c:v>Zona Ótima Inferior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'1 Areia'!$A$6:$A$15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'1 Areia'!$H$6:$H$15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07-4039-8E72-AB66EBF48E8F}"/>
            </c:ext>
          </c:extLst>
        </c:ser>
        <c:ser>
          <c:idx val="3"/>
          <c:order val="3"/>
          <c:tx>
            <c:v>Zona Útil Superior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'1 Areia'!$A$6:$A$15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'1 Areia'!$J$6:$J$15</c:f>
              <c:numCache>
                <c:formatCode>General</c:formatCode>
                <c:ptCount val="10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07-4039-8E72-AB66EBF48E8F}"/>
            </c:ext>
          </c:extLst>
        </c:ser>
        <c:ser>
          <c:idx val="4"/>
          <c:order val="4"/>
          <c:tx>
            <c:v>Zona Ótima Superior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chemeClr val="tx1"/>
                </a:solidFill>
                <a:prstDash val="solid"/>
              </a:ln>
            </c:spPr>
          </c:marker>
          <c:xVal>
            <c:numRef>
              <c:f>'1 Areia'!$A$6:$A$15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'1 Areia'!$I$6:$I$15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07-4039-8E72-AB66EBF4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27200"/>
        <c:axId val="1"/>
      </c:scatterChart>
      <c:valAx>
        <c:axId val="1442727200"/>
        <c:scaling>
          <c:logBase val="10"/>
          <c:orientation val="minMax"/>
          <c:max val="10"/>
          <c:min val="0.1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(mm)</a:t>
                </a:r>
              </a:p>
            </c:rich>
          </c:tx>
          <c:layout>
            <c:manualLayout>
              <c:xMode val="edge"/>
              <c:yMode val="edge"/>
              <c:x val="0.40834078740157481"/>
              <c:y val="0.93534473357035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axMin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Porcentagens acumuladas</a:t>
                </a:r>
              </a:p>
            </c:rich>
          </c:tx>
          <c:layout>
            <c:manualLayout>
              <c:xMode val="edge"/>
              <c:yMode val="edge"/>
              <c:x val="5.5493963254593173E-3"/>
              <c:y val="0.329741313499247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42727200"/>
        <c:crossesAt val="0.01"/>
        <c:crossBetween val="midCat"/>
        <c:majorUnit val="10"/>
        <c:minorUnit val="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27870304695381"/>
          <c:y val="0.59158726770935943"/>
          <c:w val="0.17127393853419406"/>
          <c:h val="0.23776931838978035"/>
        </c:manualLayout>
      </c:layout>
      <c:overlay val="0"/>
      <c:spPr>
        <a:solidFill>
          <a:srgbClr val="FFFFFF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89" l="0.78740157499999996" r="0.78740157499999996" t="0.98425196899999989" header="0.4921259850000001" footer="0.4921259850000001"/>
    <c:pageSetup paperSize="9" orientation="landscape" horizontalDpi="-2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MESCLA GRANULOMÉTRICA DAS AREIAS</a:t>
            </a:r>
          </a:p>
        </c:rich>
      </c:tx>
      <c:layout>
        <c:manualLayout>
          <c:xMode val="edge"/>
          <c:yMode val="edge"/>
          <c:x val="0.26657264657204471"/>
          <c:y val="1.29310655294907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832379621811E-2"/>
          <c:y val="7.1839080459770097E-2"/>
          <c:w val="0.91121026074016087"/>
          <c:h val="0.775143678160919"/>
        </c:manualLayout>
      </c:layout>
      <c:scatterChart>
        <c:scatterStyle val="smoothMarker"/>
        <c:varyColors val="0"/>
        <c:ser>
          <c:idx val="0"/>
          <c:order val="0"/>
          <c:tx>
            <c:v>Zona Ideal</c:v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'Mescla 2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2 Areias'!$N$6:$N$15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0.96982758620689646</c:v>
                </c:pt>
                <c:pt idx="3">
                  <c:v>7.8232758620689644</c:v>
                </c:pt>
                <c:pt idx="4">
                  <c:v>20.948275862068964</c:v>
                </c:pt>
                <c:pt idx="5">
                  <c:v>34.267241379310342</c:v>
                </c:pt>
                <c:pt idx="6">
                  <c:v>61.870881226053633</c:v>
                </c:pt>
                <c:pt idx="7">
                  <c:v>92.224042145593856</c:v>
                </c:pt>
                <c:pt idx="8">
                  <c:v>99.696934865900374</c:v>
                </c:pt>
                <c:pt idx="9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2-4F88-8F94-89DA6655A091}"/>
            </c:ext>
          </c:extLst>
        </c:ser>
        <c:ser>
          <c:idx val="1"/>
          <c:order val="1"/>
          <c:tx>
            <c:v>Zona Útil Inferior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'Mescla 2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2 Areias'!$O$6:$O$15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2-4F88-8F94-89DA6655A091}"/>
            </c:ext>
          </c:extLst>
        </c:ser>
        <c:ser>
          <c:idx val="2"/>
          <c:order val="2"/>
          <c:tx>
            <c:v>Zona Ótima Inferior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'Mescla 2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2 Areias'!$P$6:$P$15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02-4F88-8F94-89DA6655A091}"/>
            </c:ext>
          </c:extLst>
        </c:ser>
        <c:ser>
          <c:idx val="3"/>
          <c:order val="3"/>
          <c:tx>
            <c:v>Zona Útil Superior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'Mescla 2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2 Areias'!$R$6:$R$15</c:f>
              <c:numCache>
                <c:formatCode>General</c:formatCode>
                <c:ptCount val="10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2-4F88-8F94-89DA6655A091}"/>
            </c:ext>
          </c:extLst>
        </c:ser>
        <c:ser>
          <c:idx val="4"/>
          <c:order val="4"/>
          <c:tx>
            <c:v>Zona Ótima Superior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chemeClr val="tx1"/>
                </a:solidFill>
                <a:prstDash val="solid"/>
              </a:ln>
            </c:spPr>
          </c:marker>
          <c:xVal>
            <c:numRef>
              <c:f>'Mescla 2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2 Areias'!$Q$6:$Q$15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02-4F88-8F94-89DA6655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08287"/>
        <c:axId val="1"/>
      </c:scatterChart>
      <c:valAx>
        <c:axId val="181508287"/>
        <c:scaling>
          <c:logBase val="10"/>
          <c:orientation val="minMax"/>
          <c:max val="10"/>
          <c:min val="0.1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(mm)</a:t>
                </a:r>
              </a:p>
            </c:rich>
          </c:tx>
          <c:layout>
            <c:manualLayout>
              <c:xMode val="edge"/>
              <c:yMode val="edge"/>
              <c:x val="0.40834083956066003"/>
              <c:y val="0.935344672352546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axMin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Porcentagens acumuladas</a:t>
                </a:r>
              </a:p>
            </c:rich>
          </c:tx>
          <c:layout>
            <c:manualLayout>
              <c:xMode val="edge"/>
              <c:yMode val="edge"/>
              <c:x val="5.5493254425999297E-3"/>
              <c:y val="0.329741297930274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08287"/>
        <c:crossesAt val="1.0000000000000002E-2"/>
        <c:crossBetween val="midCat"/>
        <c:majorUnit val="10"/>
        <c:minorUnit val="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089633509122808"/>
          <c:y val="0.60592992447364169"/>
          <c:w val="0.13191686754975268"/>
          <c:h val="0.22486016829180502"/>
        </c:manualLayout>
      </c:layout>
      <c:overlay val="0"/>
      <c:spPr>
        <a:solidFill>
          <a:srgbClr val="FFFFFF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89" l="0.78740157499999996" r="0.78740157499999996" t="0.98425196899999989" header="0.4921259850000001" footer="0.4921259850000001"/>
    <c:pageSetup paperSize="9" orientation="landscape" horizontalDpi="-2" verticalDpi="-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MESCLA GRANULOMÉTRICA DAS AREIAS</a:t>
            </a:r>
          </a:p>
        </c:rich>
      </c:tx>
      <c:layout>
        <c:manualLayout>
          <c:xMode val="edge"/>
          <c:yMode val="edge"/>
          <c:x val="0.26657264657204471"/>
          <c:y val="1.29310655294907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832379621811E-2"/>
          <c:y val="7.1839080459770097E-2"/>
          <c:w val="0.91121026074016087"/>
          <c:h val="0.775143678160919"/>
        </c:manualLayout>
      </c:layout>
      <c:scatterChart>
        <c:scatterStyle val="smoothMarker"/>
        <c:varyColors val="0"/>
        <c:ser>
          <c:idx val="0"/>
          <c:order val="0"/>
          <c:tx>
            <c:v>Zona Ideal</c:v>
          </c:tx>
          <c:spPr>
            <a:ln w="38100">
              <a:solidFill>
                <a:srgbClr val="DD080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'Mescla 3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3 Areias'!$T$6:$T$15</c:f>
              <c:numCache>
                <c:formatCode>0.0</c:formatCode>
                <c:ptCount val="10"/>
                <c:pt idx="0">
                  <c:v>1.4116828929068148</c:v>
                </c:pt>
                <c:pt idx="1">
                  <c:v>5.4033379694019468</c:v>
                </c:pt>
                <c:pt idx="2">
                  <c:v>12.881636372356244</c:v>
                </c:pt>
                <c:pt idx="3">
                  <c:v>27.830271929403864</c:v>
                </c:pt>
                <c:pt idx="4">
                  <c:v>41.109826866816931</c:v>
                </c:pt>
                <c:pt idx="5">
                  <c:v>53.275862068965509</c:v>
                </c:pt>
                <c:pt idx="6">
                  <c:v>68.267432950191562</c:v>
                </c:pt>
                <c:pt idx="7">
                  <c:v>92.918007662835237</c:v>
                </c:pt>
                <c:pt idx="8">
                  <c:v>99.817624521072787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7-48F1-A41A-FA3321EE76FB}"/>
            </c:ext>
          </c:extLst>
        </c:ser>
        <c:ser>
          <c:idx val="1"/>
          <c:order val="1"/>
          <c:tx>
            <c:v>Zona Útil Inferior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'Mescla 3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3 Areias'!$U$6:$U$15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07-48F1-A41A-FA3321EE76FB}"/>
            </c:ext>
          </c:extLst>
        </c:ser>
        <c:ser>
          <c:idx val="2"/>
          <c:order val="2"/>
          <c:tx>
            <c:v>Zona Ótima Inferior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'Mescla 3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3 Areias'!$V$6:$V$15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07-48F1-A41A-FA3321EE76FB}"/>
            </c:ext>
          </c:extLst>
        </c:ser>
        <c:ser>
          <c:idx val="3"/>
          <c:order val="3"/>
          <c:tx>
            <c:v>Zona Útil Superior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'Mescla 3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3 Areias'!$X$6:$X$15</c:f>
              <c:numCache>
                <c:formatCode>General</c:formatCode>
                <c:ptCount val="10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07-48F1-A41A-FA3321EE76FB}"/>
            </c:ext>
          </c:extLst>
        </c:ser>
        <c:ser>
          <c:idx val="4"/>
          <c:order val="4"/>
          <c:tx>
            <c:v>Zona Ótima Superior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circle"/>
            <c:size val="6"/>
            <c:spPr>
              <a:solidFill>
                <a:srgbClr val="000000"/>
              </a:solidFill>
              <a:ln w="12700">
                <a:solidFill>
                  <a:schemeClr val="tx1"/>
                </a:solidFill>
                <a:prstDash val="solid"/>
              </a:ln>
            </c:spPr>
          </c:marker>
          <c:xVal>
            <c:numRef>
              <c:f>'Mescla 3 Areias'!$A$6:$A$15</c:f>
              <c:numCache>
                <c:formatCode>General</c:formatCode>
                <c:ptCount val="10"/>
                <c:pt idx="0">
                  <c:v>9.5</c:v>
                </c:pt>
                <c:pt idx="1">
                  <c:v>6.3</c:v>
                </c:pt>
                <c:pt idx="2">
                  <c:v>4.8</c:v>
                </c:pt>
                <c:pt idx="3">
                  <c:v>2.4</c:v>
                </c:pt>
                <c:pt idx="4">
                  <c:v>1.2</c:v>
                </c:pt>
                <c:pt idx="5">
                  <c:v>0.6</c:v>
                </c:pt>
                <c:pt idx="6">
                  <c:v>0.3</c:v>
                </c:pt>
                <c:pt idx="7">
                  <c:v>0.15</c:v>
                </c:pt>
                <c:pt idx="8">
                  <c:v>7.4999999999999997E-2</c:v>
                </c:pt>
                <c:pt idx="9">
                  <c:v>3.7499999999999999E-2</c:v>
                </c:pt>
              </c:numCache>
            </c:numRef>
          </c:xVal>
          <c:yVal>
            <c:numRef>
              <c:f>'Mescla 3 Areias'!$W$6:$W$15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07-48F1-A41A-FA3321EE7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08287"/>
        <c:axId val="1"/>
      </c:scatterChart>
      <c:valAx>
        <c:axId val="181508287"/>
        <c:scaling>
          <c:logBase val="10"/>
          <c:orientation val="minMax"/>
          <c:max val="10"/>
          <c:min val="0.1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(mm)</a:t>
                </a:r>
              </a:p>
            </c:rich>
          </c:tx>
          <c:layout>
            <c:manualLayout>
              <c:xMode val="edge"/>
              <c:yMode val="edge"/>
              <c:x val="0.40834083956066003"/>
              <c:y val="0.935344672352546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out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axMin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Porcentagens acumuladas</a:t>
                </a:r>
              </a:p>
            </c:rich>
          </c:tx>
          <c:layout>
            <c:manualLayout>
              <c:xMode val="edge"/>
              <c:yMode val="edge"/>
              <c:x val="5.5493254425999297E-3"/>
              <c:y val="0.329741297930274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08287"/>
        <c:crossesAt val="0.01"/>
        <c:crossBetween val="midCat"/>
        <c:majorUnit val="10"/>
        <c:minorUnit val="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561790875465861"/>
          <c:y val="0.61520288391010902"/>
          <c:w val="9.938463655378825E-2"/>
          <c:h val="0.22333790419944771"/>
        </c:manualLayout>
      </c:layout>
      <c:overlay val="0"/>
      <c:spPr>
        <a:solidFill>
          <a:srgbClr val="FFFFFF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89" l="0.78740157499999996" r="0.78740157499999996" t="0.98425196899999989" header="0.4921259850000001" footer="0.4921259850000001"/>
    <c:pageSetup paperSize="9" orientation="landscape" horizontalDpi="-2" verticalDpi="-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MESCLA GRANULOMÉTRICA DAS AREIAS</a:t>
            </a:r>
          </a:p>
        </c:rich>
      </c:tx>
      <c:layout>
        <c:manualLayout>
          <c:xMode val="edge"/>
          <c:yMode val="edge"/>
          <c:x val="0.26657259842519687"/>
          <c:y val="1.29310532859292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832379621811E-2"/>
          <c:y val="7.1839080459770097E-2"/>
          <c:w val="0.91121026074016087"/>
          <c:h val="0.775143678160919"/>
        </c:manualLayout>
      </c:layout>
      <c:scatterChart>
        <c:scatterStyle val="smoothMarker"/>
        <c:varyColors val="0"/>
        <c:ser>
          <c:idx val="0"/>
          <c:order val="0"/>
          <c:tx>
            <c:v>Brita Ensaio</c:v>
          </c:tx>
          <c:spPr>
            <a:ln w="38100">
              <a:solidFill>
                <a:srgbClr val="FF0000"/>
              </a:solidFill>
              <a:prstDash val="lgDash"/>
            </a:ln>
          </c:spPr>
          <c:marker>
            <c:symbol val="plus"/>
            <c:size val="10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Brita'!$F$8:$F$25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3.8739304497998268</c:v>
                </c:pt>
                <c:pt idx="7">
                  <c:v>8.7408744799434803</c:v>
                </c:pt>
                <c:pt idx="8">
                  <c:v>26.772117120653107</c:v>
                </c:pt>
                <c:pt idx="9">
                  <c:v>46.867886019310774</c:v>
                </c:pt>
                <c:pt idx="10">
                  <c:v>58.120731611586464</c:v>
                </c:pt>
                <c:pt idx="11">
                  <c:v>72.093570923934365</c:v>
                </c:pt>
                <c:pt idx="12">
                  <c:v>89.402621869848488</c:v>
                </c:pt>
                <c:pt idx="13">
                  <c:v>89.402621869848488</c:v>
                </c:pt>
                <c:pt idx="14">
                  <c:v>99.999999999999986</c:v>
                </c:pt>
                <c:pt idx="15">
                  <c:v>99.999999999999986</c:v>
                </c:pt>
                <c:pt idx="16">
                  <c:v>99.999999999999986</c:v>
                </c:pt>
                <c:pt idx="17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2A-48E7-929F-3921A3659552}"/>
            </c:ext>
          </c:extLst>
        </c:ser>
        <c:ser>
          <c:idx val="1"/>
          <c:order val="1"/>
          <c:tx>
            <c:v>Lim Inf 4,75/12,5</c:v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030A0"/>
              </a:solidFill>
              <a:ln w="12700">
                <a:solidFill>
                  <a:srgbClr val="7030A0"/>
                </a:solidFill>
                <a:prstDash val="solid"/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Brita'!$G$8:$G$26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40</c:v>
                </c:pt>
                <c:pt idx="10">
                  <c:v>80</c:v>
                </c:pt>
                <c:pt idx="11">
                  <c:v>95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2A-48E7-929F-3921A3659552}"/>
            </c:ext>
          </c:extLst>
        </c:ser>
        <c:ser>
          <c:idx val="2"/>
          <c:order val="2"/>
          <c:tx>
            <c:v>Lim Sup 4,75/12,5</c:v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030A0"/>
              </a:solidFill>
              <a:ln w="12700">
                <a:solidFill>
                  <a:srgbClr val="7030A0"/>
                </a:solidFill>
                <a:prstDash val="solid"/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Brita'!$H$8:$H$26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15</c:v>
                </c:pt>
                <c:pt idx="9">
                  <c:v>65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2A-48E7-929F-3921A3659552}"/>
            </c:ext>
          </c:extLst>
        </c:ser>
        <c:ser>
          <c:idx val="3"/>
          <c:order val="3"/>
          <c:tx>
            <c:v>Lim Inf 9,5/25</c:v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x"/>
            <c:size val="7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Brita'!$I$8:$I$26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40</c:v>
                </c:pt>
                <c:pt idx="8">
                  <c:v>80</c:v>
                </c:pt>
                <c:pt idx="9">
                  <c:v>92</c:v>
                </c:pt>
                <c:pt idx="10">
                  <c:v>95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2A-48E7-929F-3921A3659552}"/>
            </c:ext>
          </c:extLst>
        </c:ser>
        <c:ser>
          <c:idx val="4"/>
          <c:order val="4"/>
          <c:tx>
            <c:v>Lim Sup 9,5/25</c:v>
          </c:tx>
          <c:spPr>
            <a:ln w="25400">
              <a:solidFill>
                <a:schemeClr val="accent6"/>
              </a:solidFill>
            </a:ln>
          </c:spPr>
          <c:marker>
            <c:symbol val="x"/>
            <c:size val="7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Brita'!$J$8:$J$26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15</c:v>
                </c:pt>
                <c:pt idx="7">
                  <c:v>65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2A-48E7-929F-3921A3659552}"/>
            </c:ext>
          </c:extLst>
        </c:ser>
        <c:ser>
          <c:idx val="5"/>
          <c:order val="5"/>
          <c:tx>
            <c:v>Lim Inf 19/31,5</c:v>
          </c:tx>
          <c:spPr>
            <a:ln w="25400"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Brita'!$K$8:$K$26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65</c:v>
                </c:pt>
                <c:pt idx="7">
                  <c:v>92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2A-48E7-929F-3921A3659552}"/>
            </c:ext>
          </c:extLst>
        </c:ser>
        <c:ser>
          <c:idx val="6"/>
          <c:order val="6"/>
          <c:tx>
            <c:v>Lim Sup 19/31,5</c:v>
          </c:tx>
          <c:spPr>
            <a:ln w="25400"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Brita'!$L$8:$L$26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25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2A-48E7-929F-3921A3659552}"/>
            </c:ext>
          </c:extLst>
        </c:ser>
        <c:ser>
          <c:idx val="7"/>
          <c:order val="7"/>
          <c:tx>
            <c:v>Lim Inf 25/50</c:v>
          </c:tx>
          <c:spPr>
            <a:ln w="25400">
              <a:solidFill>
                <a:schemeClr val="accent4"/>
              </a:solidFill>
            </a:ln>
          </c:spPr>
          <c:marker>
            <c:symbol val="diamond"/>
            <c:size val="7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Brita'!$M$8:$M$26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75</c:v>
                </c:pt>
                <c:pt idx="5">
                  <c:v>87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2A-48E7-929F-3921A3659552}"/>
            </c:ext>
          </c:extLst>
        </c:ser>
        <c:ser>
          <c:idx val="8"/>
          <c:order val="8"/>
          <c:tx>
            <c:v>Lim Sup 25/50</c:v>
          </c:tx>
          <c:spPr>
            <a:ln w="25400">
              <a:solidFill>
                <a:schemeClr val="accent4"/>
              </a:solidFill>
            </a:ln>
          </c:spPr>
          <c:marker>
            <c:symbol val="diamond"/>
            <c:size val="7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Brita'!$N$8:$N$26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2A-48E7-929F-3921A3659552}"/>
            </c:ext>
          </c:extLst>
        </c:ser>
        <c:ser>
          <c:idx val="9"/>
          <c:order val="9"/>
          <c:tx>
            <c:v>Lim Inf 37,5/75</c:v>
          </c:tx>
          <c:spPr>
            <a:ln w="25400">
              <a:solidFill>
                <a:schemeClr val="accent5"/>
              </a:solidFill>
            </a:ln>
          </c:spPr>
          <c:marker>
            <c:symbol val="square"/>
            <c:size val="7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Brita'!$O$8:$O$26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75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2A-48E7-929F-3921A3659552}"/>
            </c:ext>
          </c:extLst>
        </c:ser>
        <c:ser>
          <c:idx val="10"/>
          <c:order val="10"/>
          <c:tx>
            <c:v>Lim Sup 37,5/75</c:v>
          </c:tx>
          <c:spPr>
            <a:ln w="25400">
              <a:solidFill>
                <a:schemeClr val="accent5"/>
              </a:solidFill>
            </a:ln>
          </c:spPr>
          <c:marker>
            <c:symbol val="square"/>
            <c:size val="7"/>
            <c:spPr>
              <a:solidFill>
                <a:schemeClr val="accent5"/>
              </a:solidFill>
            </c:spPr>
          </c:marker>
          <c:xVal>
            <c:numRef>
              <c:f>'Granulometeria 1 Brita'!$A$8:$A$25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'Granulometeria 1 Brita'!$P$8:$P$26</c:f>
              <c:numCache>
                <c:formatCode>General</c:formatCode>
                <c:ptCount val="19"/>
                <c:pt idx="0">
                  <c:v>5</c:v>
                </c:pt>
                <c:pt idx="1">
                  <c:v>30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2A-48E7-929F-3921A3659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27200"/>
        <c:axId val="1"/>
      </c:scatterChart>
      <c:valAx>
        <c:axId val="1442727200"/>
        <c:scaling>
          <c:logBase val="10"/>
          <c:orientation val="minMax"/>
          <c:max val="75"/>
          <c:min val="2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(mm)</a:t>
                </a:r>
              </a:p>
            </c:rich>
          </c:tx>
          <c:layout>
            <c:manualLayout>
              <c:xMode val="edge"/>
              <c:yMode val="edge"/>
              <c:x val="0.40834078740157481"/>
              <c:y val="0.93534473357035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  <c:majorUnit val="2"/>
        <c:minorUnit val="2"/>
      </c:valAx>
      <c:valAx>
        <c:axId val="1"/>
        <c:scaling>
          <c:orientation val="maxMin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Porcentagens acumuladas</a:t>
                </a:r>
              </a:p>
            </c:rich>
          </c:tx>
          <c:layout>
            <c:manualLayout>
              <c:xMode val="edge"/>
              <c:yMode val="edge"/>
              <c:x val="5.5493963254593173E-3"/>
              <c:y val="0.329741313499247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42727200"/>
        <c:crosses val="autoZero"/>
        <c:crossBetween val="midCat"/>
        <c:majorUnit val="10"/>
        <c:minorUnit val="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6152439886280862E-2"/>
          <c:y val="7.6547732325016091E-2"/>
          <c:w val="9.9466332808373428E-2"/>
          <c:h val="0.3446997278374504"/>
        </c:manualLayout>
      </c:layout>
      <c:overlay val="0"/>
      <c:spPr>
        <a:solidFill>
          <a:srgbClr val="FFFFFF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89" l="0.78740157499999996" r="0.78740157499999996" t="0.98425196899999989" header="0.4921259850000001" footer="0.4921259850000001"/>
    <c:pageSetup paperSize="9" orientation="landscape" horizontalDpi="-2" verticalDpi="-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MESCLA GRANULOMÉTRICA DAS AREIAS</a:t>
            </a:r>
          </a:p>
        </c:rich>
      </c:tx>
      <c:layout>
        <c:manualLayout>
          <c:xMode val="edge"/>
          <c:yMode val="edge"/>
          <c:x val="0.26657259842519687"/>
          <c:y val="1.29310532859292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832379621811E-2"/>
          <c:y val="7.1839080459770097E-2"/>
          <c:w val="0.91121026074016087"/>
          <c:h val="0.775143678160919"/>
        </c:manualLayout>
      </c:layout>
      <c:scatterChart>
        <c:scatterStyle val="smoothMarker"/>
        <c:varyColors val="0"/>
        <c:ser>
          <c:idx val="0"/>
          <c:order val="0"/>
          <c:tx>
            <c:v>Mescla das britas</c:v>
          </c:tx>
          <c:spPr>
            <a:ln w="38100">
              <a:solidFill>
                <a:srgbClr val="FF0000"/>
              </a:solidFill>
              <a:prstDash val="lgDash"/>
            </a:ln>
          </c:spPr>
          <c:marker>
            <c:symbol val="plus"/>
            <c:size val="10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Britas'!$N$9:$N$26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3.8739304497998268</c:v>
                </c:pt>
                <c:pt idx="7">
                  <c:v>8.7408744799434803</c:v>
                </c:pt>
                <c:pt idx="8">
                  <c:v>26.772117120653107</c:v>
                </c:pt>
                <c:pt idx="9">
                  <c:v>46.867886019310774</c:v>
                </c:pt>
                <c:pt idx="10">
                  <c:v>58.120731611586464</c:v>
                </c:pt>
                <c:pt idx="11">
                  <c:v>72.093570923934365</c:v>
                </c:pt>
                <c:pt idx="12">
                  <c:v>89.402621869848488</c:v>
                </c:pt>
                <c:pt idx="13">
                  <c:v>89.402621869848488</c:v>
                </c:pt>
                <c:pt idx="14">
                  <c:v>99.999999999999986</c:v>
                </c:pt>
                <c:pt idx="15">
                  <c:v>99.999999999999986</c:v>
                </c:pt>
                <c:pt idx="16">
                  <c:v>99.999999999999986</c:v>
                </c:pt>
                <c:pt idx="17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95-4579-9337-EF4920EE4285}"/>
            </c:ext>
          </c:extLst>
        </c:ser>
        <c:ser>
          <c:idx val="1"/>
          <c:order val="1"/>
          <c:tx>
            <c:v>Lim Inf 4,75/12,5</c:v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030A0"/>
              </a:solidFill>
              <a:ln w="12700">
                <a:solidFill>
                  <a:srgbClr val="7030A0"/>
                </a:solidFill>
                <a:prstDash val="solid"/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Britas'!$O$9:$O$27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40</c:v>
                </c:pt>
                <c:pt idx="10">
                  <c:v>80</c:v>
                </c:pt>
                <c:pt idx="11">
                  <c:v>95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95-4579-9337-EF4920EE4285}"/>
            </c:ext>
          </c:extLst>
        </c:ser>
        <c:ser>
          <c:idx val="2"/>
          <c:order val="2"/>
          <c:tx>
            <c:v>Lim Sup 4,75/12,5</c:v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030A0"/>
              </a:solidFill>
              <a:ln w="12700">
                <a:solidFill>
                  <a:srgbClr val="7030A0"/>
                </a:solidFill>
                <a:prstDash val="solid"/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Britas'!$P$9:$P$27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15</c:v>
                </c:pt>
                <c:pt idx="9">
                  <c:v>65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95-4579-9337-EF4920EE4285}"/>
            </c:ext>
          </c:extLst>
        </c:ser>
        <c:ser>
          <c:idx val="3"/>
          <c:order val="3"/>
          <c:tx>
            <c:v>Lim Inf 9,5/25</c:v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x"/>
            <c:size val="7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Britas'!$Q$9:$Q$27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40</c:v>
                </c:pt>
                <c:pt idx="8">
                  <c:v>80</c:v>
                </c:pt>
                <c:pt idx="9">
                  <c:v>92</c:v>
                </c:pt>
                <c:pt idx="10">
                  <c:v>95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95-4579-9337-EF4920EE4285}"/>
            </c:ext>
          </c:extLst>
        </c:ser>
        <c:ser>
          <c:idx val="4"/>
          <c:order val="4"/>
          <c:tx>
            <c:v>Lim Sup 9,5/25</c:v>
          </c:tx>
          <c:spPr>
            <a:ln w="25400">
              <a:solidFill>
                <a:schemeClr val="accent6"/>
              </a:solidFill>
            </a:ln>
          </c:spPr>
          <c:marker>
            <c:symbol val="x"/>
            <c:size val="7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Britas'!$R$9:$R$27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15</c:v>
                </c:pt>
                <c:pt idx="7">
                  <c:v>65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95-4579-9337-EF4920EE4285}"/>
            </c:ext>
          </c:extLst>
        </c:ser>
        <c:ser>
          <c:idx val="5"/>
          <c:order val="5"/>
          <c:tx>
            <c:v>Lim Inf 19/31,5</c:v>
          </c:tx>
          <c:spPr>
            <a:ln w="25400"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Britas'!$S$9:$S$27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65</c:v>
                </c:pt>
                <c:pt idx="7">
                  <c:v>92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95-4579-9337-EF4920EE4285}"/>
            </c:ext>
          </c:extLst>
        </c:ser>
        <c:ser>
          <c:idx val="6"/>
          <c:order val="6"/>
          <c:tx>
            <c:v>Lim Sup 19/31,5</c:v>
          </c:tx>
          <c:spPr>
            <a:ln w="25400">
              <a:solidFill>
                <a:schemeClr val="accent3"/>
              </a:solidFill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Britas'!$T$9:$T$27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25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95-4579-9337-EF4920EE4285}"/>
            </c:ext>
          </c:extLst>
        </c:ser>
        <c:ser>
          <c:idx val="7"/>
          <c:order val="7"/>
          <c:tx>
            <c:v>Lim Inf 25/50</c:v>
          </c:tx>
          <c:spPr>
            <a:ln w="25400">
              <a:solidFill>
                <a:schemeClr val="accent4"/>
              </a:solidFill>
            </a:ln>
          </c:spPr>
          <c:marker>
            <c:symbol val="diamond"/>
            <c:size val="7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Britas'!$U$9:$U$27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75</c:v>
                </c:pt>
                <c:pt idx="5">
                  <c:v>87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95-4579-9337-EF4920EE4285}"/>
            </c:ext>
          </c:extLst>
        </c:ser>
        <c:ser>
          <c:idx val="8"/>
          <c:order val="8"/>
          <c:tx>
            <c:v>Lim Sup 25/50</c:v>
          </c:tx>
          <c:spPr>
            <a:ln w="25400">
              <a:solidFill>
                <a:schemeClr val="accent4"/>
              </a:solidFill>
            </a:ln>
          </c:spPr>
          <c:marker>
            <c:symbol val="diamond"/>
            <c:size val="7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Britas'!$V$9:$V$27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395-4579-9337-EF4920EE4285}"/>
            </c:ext>
          </c:extLst>
        </c:ser>
        <c:ser>
          <c:idx val="9"/>
          <c:order val="9"/>
          <c:tx>
            <c:v>Lim Inf 37,5/75</c:v>
          </c:tx>
          <c:spPr>
            <a:ln w="25400">
              <a:solidFill>
                <a:schemeClr val="accent5"/>
              </a:solidFill>
            </a:ln>
          </c:spPr>
          <c:marker>
            <c:symbol val="square"/>
            <c:size val="7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Britas'!$W$9:$W$27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75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395-4579-9337-EF4920EE4285}"/>
            </c:ext>
          </c:extLst>
        </c:ser>
        <c:ser>
          <c:idx val="10"/>
          <c:order val="10"/>
          <c:tx>
            <c:v>Lim Sup 37,5/75</c:v>
          </c:tx>
          <c:spPr>
            <a:ln w="25400">
              <a:solidFill>
                <a:schemeClr val="accent5"/>
              </a:solidFill>
            </a:ln>
          </c:spPr>
          <c:marker>
            <c:symbol val="square"/>
            <c:size val="7"/>
            <c:spPr>
              <a:solidFill>
                <a:schemeClr val="accent5"/>
              </a:solidFill>
            </c:spPr>
          </c:marker>
          <c:xVal>
            <c:numRef>
              <c:f>'Granulometria 2 Britas'!$A$9:$A$26</c:f>
              <c:numCache>
                <c:formatCode>General</c:formatCode>
                <c:ptCount val="18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31.5</c:v>
                </c:pt>
                <c:pt idx="5">
                  <c:v>25</c:v>
                </c:pt>
                <c:pt idx="6">
                  <c:v>19</c:v>
                </c:pt>
                <c:pt idx="7">
                  <c:v>12.5</c:v>
                </c:pt>
                <c:pt idx="8">
                  <c:v>9.5</c:v>
                </c:pt>
                <c:pt idx="9">
                  <c:v>6.3</c:v>
                </c:pt>
                <c:pt idx="10">
                  <c:v>4.8</c:v>
                </c:pt>
                <c:pt idx="11">
                  <c:v>2.4</c:v>
                </c:pt>
                <c:pt idx="12">
                  <c:v>1.2</c:v>
                </c:pt>
                <c:pt idx="13">
                  <c:v>0.6</c:v>
                </c:pt>
                <c:pt idx="14">
                  <c:v>0.3</c:v>
                </c:pt>
                <c:pt idx="15">
                  <c:v>0.15</c:v>
                </c:pt>
                <c:pt idx="16">
                  <c:v>7.4999999999999997E-2</c:v>
                </c:pt>
                <c:pt idx="17">
                  <c:v>3.7499999999999999E-2</c:v>
                </c:pt>
              </c:numCache>
            </c:numRef>
          </c:xVal>
          <c:yVal>
            <c:numRef>
              <c:f>'Granulometria 2 Britas'!$X$9:$X$27</c:f>
              <c:numCache>
                <c:formatCode>General</c:formatCode>
                <c:ptCount val="19"/>
                <c:pt idx="0">
                  <c:v>5</c:v>
                </c:pt>
                <c:pt idx="1">
                  <c:v>30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395-4579-9337-EF4920EE4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27200"/>
        <c:axId val="1"/>
      </c:scatterChart>
      <c:valAx>
        <c:axId val="1442727200"/>
        <c:scaling>
          <c:logBase val="10"/>
          <c:orientation val="minMax"/>
          <c:max val="75"/>
          <c:min val="2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(mm)</a:t>
                </a:r>
              </a:p>
            </c:rich>
          </c:tx>
          <c:layout>
            <c:manualLayout>
              <c:xMode val="edge"/>
              <c:yMode val="edge"/>
              <c:x val="0.40834078740157481"/>
              <c:y val="0.93534473357035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  <c:majorUnit val="2"/>
        <c:minorUnit val="2"/>
      </c:valAx>
      <c:valAx>
        <c:axId val="1"/>
        <c:scaling>
          <c:orientation val="maxMin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Porcentagens acumuladas</a:t>
                </a:r>
              </a:p>
            </c:rich>
          </c:tx>
          <c:layout>
            <c:manualLayout>
              <c:xMode val="edge"/>
              <c:yMode val="edge"/>
              <c:x val="5.5493963254593173E-3"/>
              <c:y val="0.329741313499247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42727200"/>
        <c:crosses val="autoZero"/>
        <c:crossBetween val="midCat"/>
        <c:majorUnit val="10"/>
        <c:minorUnit val="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6152439886280862E-2"/>
          <c:y val="7.6547732325016091E-2"/>
          <c:w val="6.6096980751688128E-2"/>
          <c:h val="0.3446997278374504"/>
        </c:manualLayout>
      </c:layout>
      <c:overlay val="0"/>
      <c:spPr>
        <a:solidFill>
          <a:srgbClr val="FFFFFF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89" l="0.78740157499999996" r="0.78740157499999996" t="0.98425196899999989" header="0.4921259850000001" footer="0.4921259850000001"/>
    <c:pageSetup paperSize="9" orientation="landscape" horizontalDpi="-2" verticalDpi="-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Índice de Volume de Vazios (%)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Material 1 e Material 2</a:t>
            </a:r>
          </a:p>
        </c:rich>
      </c:tx>
      <c:layout>
        <c:manualLayout>
          <c:xMode val="edge"/>
          <c:yMode val="edge"/>
          <c:x val="0.2528683914510686"/>
          <c:y val="3.2991936248932742E-2"/>
        </c:manualLayout>
      </c:layout>
      <c:overlay val="0"/>
      <c:spPr>
        <a:solidFill>
          <a:schemeClr val="bg1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8762231080948"/>
          <c:y val="0.17195515234508729"/>
          <c:w val="0.8476724448174302"/>
          <c:h val="0.56732671211737395"/>
        </c:manualLayout>
      </c:layout>
      <c:lineChart>
        <c:grouping val="standard"/>
        <c:varyColors val="0"/>
        <c:ser>
          <c:idx val="1"/>
          <c:order val="0"/>
          <c:tx>
            <c:strRef>
              <c:f>Empacotamento!$G$11</c:f>
              <c:strCache>
                <c:ptCount val="1"/>
                <c:pt idx="0">
                  <c:v>Índice de Volume de Vazios (%)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</c:marker>
          <c:cat>
            <c:multiLvlStrRef>
              <c:f>Empacotamento!$A$12:$B$23</c:f>
              <c:multiLvlStrCache>
                <c:ptCount val="8"/>
                <c:lvl>
                  <c:pt idx="0">
                    <c:v>0</c:v>
                  </c:pt>
                  <c:pt idx="1">
                    <c:v>10</c:v>
                  </c:pt>
                  <c:pt idx="2">
                    <c:v>20</c:v>
                  </c:pt>
                  <c:pt idx="3">
                    <c:v>30</c:v>
                  </c:pt>
                  <c:pt idx="4">
                    <c:v>35</c:v>
                  </c:pt>
                  <c:pt idx="5">
                    <c:v>40</c:v>
                  </c:pt>
                  <c:pt idx="6">
                    <c:v>50</c:v>
                  </c:pt>
                  <c:pt idx="7">
                    <c:v>60</c:v>
                  </c:pt>
                </c:lvl>
                <c:lvl>
                  <c:pt idx="0">
                    <c:v>100</c:v>
                  </c:pt>
                  <c:pt idx="1">
                    <c:v>90</c:v>
                  </c:pt>
                  <c:pt idx="2">
                    <c:v>80</c:v>
                  </c:pt>
                  <c:pt idx="3">
                    <c:v>70</c:v>
                  </c:pt>
                  <c:pt idx="4">
                    <c:v>65</c:v>
                  </c:pt>
                  <c:pt idx="5">
                    <c:v>60</c:v>
                  </c:pt>
                  <c:pt idx="6">
                    <c:v>50</c:v>
                  </c:pt>
                  <c:pt idx="7">
                    <c:v>40</c:v>
                  </c:pt>
                </c:lvl>
              </c:multiLvlStrCache>
            </c:multiLvlStrRef>
          </c:cat>
          <c:val>
            <c:numRef>
              <c:f>Empacotamento!$G$12:$G$23</c:f>
              <c:numCache>
                <c:formatCode>0.0</c:formatCode>
                <c:ptCount val="12"/>
                <c:pt idx="0">
                  <c:v>47.509333333333331</c:v>
                </c:pt>
                <c:pt idx="1">
                  <c:v>46.963459604425076</c:v>
                </c:pt>
                <c:pt idx="2">
                  <c:v>45.569790964261628</c:v>
                </c:pt>
                <c:pt idx="3">
                  <c:v>44.290267887419461</c:v>
                </c:pt>
                <c:pt idx="4">
                  <c:v>46.273082809046073</c:v>
                </c:pt>
                <c:pt idx="5">
                  <c:v>44.589358799454295</c:v>
                </c:pt>
                <c:pt idx="6">
                  <c:v>44.872178387650081</c:v>
                </c:pt>
                <c:pt idx="7">
                  <c:v>45.407867494824011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C-45C7-B4B1-A36272392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695039"/>
        <c:axId val="1"/>
      </c:lineChart>
      <c:catAx>
        <c:axId val="273695039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Mat 2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Mat 1</a:t>
                </a:r>
              </a:p>
            </c:rich>
          </c:tx>
          <c:layout>
            <c:manualLayout>
              <c:xMode val="edge"/>
              <c:yMode val="edge"/>
              <c:x val="3.6340888874246365E-2"/>
              <c:y val="0.7654700445053064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Índice de Volume de Vazios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73695039"/>
        <c:crosses val="autoZero"/>
        <c:crossBetween val="between"/>
        <c:majorUnit val="5"/>
        <c:min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Índice de Volume de Vazios (%)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Mistura 1 e Material 3</a:t>
            </a:r>
          </a:p>
        </c:rich>
      </c:tx>
      <c:layout>
        <c:manualLayout>
          <c:xMode val="edge"/>
          <c:yMode val="edge"/>
          <c:x val="0.33604132816731241"/>
          <c:y val="9.638554216867470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147168319441"/>
          <c:y val="0.13755534095973848"/>
          <c:w val="0.8476724448174302"/>
          <c:h val="0.56732671211737395"/>
        </c:manualLayout>
      </c:layout>
      <c:lineChart>
        <c:grouping val="standard"/>
        <c:varyColors val="0"/>
        <c:ser>
          <c:idx val="0"/>
          <c:order val="0"/>
          <c:tx>
            <c:strRef>
              <c:f>Empacotamento!$G$26</c:f>
              <c:strCache>
                <c:ptCount val="1"/>
                <c:pt idx="0">
                  <c:v>Índice de Volume de Vazios (%)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multiLvlStrRef>
              <c:f>Empacotamento!$A$27:$B$38</c:f>
              <c:multiLvlStrCache>
                <c:ptCount val="11"/>
                <c:lvl>
                  <c:pt idx="0">
                    <c:v>0</c:v>
                  </c:pt>
                  <c:pt idx="1">
                    <c:v>10</c:v>
                  </c:pt>
                  <c:pt idx="2">
                    <c:v>20</c:v>
                  </c:pt>
                  <c:pt idx="3">
                    <c:v>30</c:v>
                  </c:pt>
                  <c:pt idx="4">
                    <c:v>35</c:v>
                  </c:pt>
                  <c:pt idx="5">
                    <c:v>40</c:v>
                  </c:pt>
                  <c:pt idx="6">
                    <c:v>45</c:v>
                  </c:pt>
                  <c:pt idx="7">
                    <c:v>50</c:v>
                  </c:pt>
                  <c:pt idx="8">
                    <c:v>60</c:v>
                  </c:pt>
                  <c:pt idx="9">
                    <c:v>70</c:v>
                  </c:pt>
                  <c:pt idx="10">
                    <c:v>80</c:v>
                  </c:pt>
                </c:lvl>
                <c:lvl>
                  <c:pt idx="0">
                    <c:v>100</c:v>
                  </c:pt>
                  <c:pt idx="1">
                    <c:v>90</c:v>
                  </c:pt>
                  <c:pt idx="2">
                    <c:v>80</c:v>
                  </c:pt>
                  <c:pt idx="3">
                    <c:v>70</c:v>
                  </c:pt>
                  <c:pt idx="4">
                    <c:v>65</c:v>
                  </c:pt>
                  <c:pt idx="5">
                    <c:v>60</c:v>
                  </c:pt>
                  <c:pt idx="6">
                    <c:v>55</c:v>
                  </c:pt>
                  <c:pt idx="7">
                    <c:v>50</c:v>
                  </c:pt>
                  <c:pt idx="8">
                    <c:v>40</c:v>
                  </c:pt>
                  <c:pt idx="9">
                    <c:v>30</c:v>
                  </c:pt>
                  <c:pt idx="10">
                    <c:v>20</c:v>
                  </c:pt>
                </c:lvl>
              </c:multiLvlStrCache>
            </c:multiLvlStrRef>
          </c:cat>
          <c:val>
            <c:numRef>
              <c:f>Empacotamento!$G$27:$G$38</c:f>
              <c:numCache>
                <c:formatCode>0.0</c:formatCode>
                <c:ptCount val="12"/>
                <c:pt idx="0">
                  <c:v>44.377076975245835</c:v>
                </c:pt>
                <c:pt idx="1">
                  <c:v>40.010294773686553</c:v>
                </c:pt>
                <c:pt idx="2">
                  <c:v>36.780216726868566</c:v>
                </c:pt>
                <c:pt idx="3">
                  <c:v>34.559926871286436</c:v>
                </c:pt>
                <c:pt idx="4">
                  <c:v>33.12131878239029</c:v>
                </c:pt>
                <c:pt idx="5">
                  <c:v>37.031964120452763</c:v>
                </c:pt>
                <c:pt idx="6">
                  <c:v>32.869857984562749</c:v>
                </c:pt>
                <c:pt idx="7">
                  <c:v>34.062353577221124</c:v>
                </c:pt>
                <c:pt idx="8">
                  <c:v>36.025697182070374</c:v>
                </c:pt>
                <c:pt idx="9">
                  <c:v>32.202166598883423</c:v>
                </c:pt>
                <c:pt idx="10">
                  <c:v>31.58199116038654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7-47A2-8EA2-8D5EA0E9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697951"/>
        <c:axId val="1"/>
      </c:lineChart>
      <c:catAx>
        <c:axId val="273697951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Mat 3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Mist 1</a:t>
                </a:r>
              </a:p>
            </c:rich>
          </c:tx>
          <c:layout>
            <c:manualLayout>
              <c:xMode val="edge"/>
              <c:yMode val="edge"/>
              <c:x val="3.2325050277806182E-2"/>
              <c:y val="0.745239613643335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Índice de Volume de Vazios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73697951"/>
        <c:crosses val="autoZero"/>
        <c:crossBetween val="between"/>
        <c:majorUnit val="5"/>
        <c:min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Índice de Volume de Vazios (%)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Mistura 2 e Material 4</a:t>
            </a:r>
          </a:p>
        </c:rich>
      </c:tx>
      <c:layout>
        <c:manualLayout>
          <c:xMode val="edge"/>
          <c:yMode val="edge"/>
          <c:x val="0.33604132816731241"/>
          <c:y val="9.661835748792270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147168319441"/>
          <c:y val="0.13755534095973848"/>
          <c:w val="0.8476724448174302"/>
          <c:h val="0.56732671211737395"/>
        </c:manualLayout>
      </c:layout>
      <c:lineChart>
        <c:grouping val="standard"/>
        <c:varyColors val="0"/>
        <c:ser>
          <c:idx val="1"/>
          <c:order val="0"/>
          <c:tx>
            <c:strRef>
              <c:f>Empacotamento!$G$41</c:f>
              <c:strCache>
                <c:ptCount val="1"/>
                <c:pt idx="0">
                  <c:v>Índice de Volume de Vazios (%)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cat>
            <c:multiLvlStrRef>
              <c:f>Empacotamento!$A$42:$B$53</c:f>
              <c:multiLvlStrCache>
                <c:ptCount val="12"/>
                <c:lvl>
                  <c:pt idx="0">
                    <c:v>0</c:v>
                  </c:pt>
                  <c:pt idx="1">
                    <c:v>10</c:v>
                  </c:pt>
                  <c:pt idx="2">
                    <c:v>20</c:v>
                  </c:pt>
                  <c:pt idx="3">
                    <c:v>30</c:v>
                  </c:pt>
                  <c:pt idx="4">
                    <c:v>35</c:v>
                  </c:pt>
                  <c:pt idx="5">
                    <c:v>40</c:v>
                  </c:pt>
                  <c:pt idx="6">
                    <c:v>45</c:v>
                  </c:pt>
                  <c:pt idx="7">
                    <c:v>50</c:v>
                  </c:pt>
                  <c:pt idx="8">
                    <c:v>60</c:v>
                  </c:pt>
                  <c:pt idx="9">
                    <c:v>70</c:v>
                  </c:pt>
                  <c:pt idx="10">
                    <c:v>80</c:v>
                  </c:pt>
                </c:lvl>
                <c:lvl>
                  <c:pt idx="0">
                    <c:v>100</c:v>
                  </c:pt>
                  <c:pt idx="1">
                    <c:v>90</c:v>
                  </c:pt>
                  <c:pt idx="2">
                    <c:v>80</c:v>
                  </c:pt>
                  <c:pt idx="3">
                    <c:v>70</c:v>
                  </c:pt>
                  <c:pt idx="4">
                    <c:v>65</c:v>
                  </c:pt>
                  <c:pt idx="5">
                    <c:v>60</c:v>
                  </c:pt>
                  <c:pt idx="6">
                    <c:v>55</c:v>
                  </c:pt>
                  <c:pt idx="7">
                    <c:v>50</c:v>
                  </c:pt>
                  <c:pt idx="8">
                    <c:v>40</c:v>
                  </c:pt>
                  <c:pt idx="9">
                    <c:v>30</c:v>
                  </c:pt>
                  <c:pt idx="10">
                    <c:v>20</c:v>
                  </c:pt>
                  <c:pt idx="11">
                    <c:v>0</c:v>
                  </c:pt>
                </c:lvl>
              </c:multiLvlStrCache>
            </c:multiLvlStrRef>
          </c:cat>
          <c:val>
            <c:numRef>
              <c:f>Empacotamento!$G$42:$G$53</c:f>
              <c:numCache>
                <c:formatCode>0.0</c:formatCode>
                <c:ptCount val="12"/>
                <c:pt idx="0">
                  <c:v>38.560191774664766</c:v>
                </c:pt>
                <c:pt idx="1">
                  <c:v>34.423179359446628</c:v>
                </c:pt>
                <c:pt idx="2">
                  <c:v>31.617828269167191</c:v>
                </c:pt>
                <c:pt idx="3">
                  <c:v>29.969524354179683</c:v>
                </c:pt>
                <c:pt idx="4">
                  <c:v>28.815792941672598</c:v>
                </c:pt>
                <c:pt idx="5">
                  <c:v>28.518847875563335</c:v>
                </c:pt>
                <c:pt idx="6">
                  <c:v>23.170267243362275</c:v>
                </c:pt>
                <c:pt idx="7">
                  <c:v>30.237367447828227</c:v>
                </c:pt>
                <c:pt idx="8">
                  <c:v>27.834552820946968</c:v>
                </c:pt>
                <c:pt idx="9">
                  <c:v>25.746686147300846</c:v>
                </c:pt>
                <c:pt idx="10">
                  <c:v>30.756190389543427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6-461C-B091-64F8590A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700863"/>
        <c:axId val="1"/>
      </c:lineChart>
      <c:catAx>
        <c:axId val="273700863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Mat 4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Mist 2</a:t>
                </a:r>
              </a:p>
            </c:rich>
          </c:tx>
          <c:layout>
            <c:manualLayout>
              <c:xMode val="edge"/>
              <c:yMode val="edge"/>
              <c:x val="3.2325050277806182E-2"/>
              <c:y val="0.740842177336528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Índice de Volume de Vazios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73700863"/>
        <c:crosses val="autoZero"/>
        <c:crossBetween val="between"/>
        <c:majorUnit val="5"/>
        <c:min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Índice de Volume de Vazios (%)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Mistura 3 e Material 5</a:t>
            </a:r>
          </a:p>
        </c:rich>
      </c:tx>
      <c:layout>
        <c:manualLayout>
          <c:xMode val="edge"/>
          <c:yMode val="edge"/>
          <c:x val="0.33604132816731241"/>
          <c:y val="9.661835748792270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147168319441"/>
          <c:y val="0.13755534095973848"/>
          <c:w val="0.8476724448174302"/>
          <c:h val="0.56732671211737395"/>
        </c:manualLayout>
      </c:layout>
      <c:lineChart>
        <c:grouping val="standard"/>
        <c:varyColors val="0"/>
        <c:ser>
          <c:idx val="1"/>
          <c:order val="0"/>
          <c:tx>
            <c:strRef>
              <c:f>Empacotamento!$G$56</c:f>
              <c:strCache>
                <c:ptCount val="1"/>
                <c:pt idx="0">
                  <c:v>Índice de Volume de Vazios (%)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cat>
            <c:multiLvlStrRef>
              <c:f>Empacotamento!$A$57:$B$68</c:f>
              <c:multiLvlStrCache>
                <c:ptCount val="11"/>
                <c:lvl>
                  <c:pt idx="0">
                    <c:v>0</c:v>
                  </c:pt>
                  <c:pt idx="1">
                    <c:v>10</c:v>
                  </c:pt>
                  <c:pt idx="2">
                    <c:v>20</c:v>
                  </c:pt>
                  <c:pt idx="3">
                    <c:v>30</c:v>
                  </c:pt>
                  <c:pt idx="4">
                    <c:v>35</c:v>
                  </c:pt>
                  <c:pt idx="5">
                    <c:v>40</c:v>
                  </c:pt>
                  <c:pt idx="6">
                    <c:v>50</c:v>
                  </c:pt>
                  <c:pt idx="7">
                    <c:v>35</c:v>
                  </c:pt>
                  <c:pt idx="8">
                    <c:v>60</c:v>
                  </c:pt>
                  <c:pt idx="9">
                    <c:v>70</c:v>
                  </c:pt>
                  <c:pt idx="10">
                    <c:v>80</c:v>
                  </c:pt>
                </c:lvl>
                <c:lvl>
                  <c:pt idx="0">
                    <c:v>100</c:v>
                  </c:pt>
                  <c:pt idx="1">
                    <c:v>90</c:v>
                  </c:pt>
                  <c:pt idx="2">
                    <c:v>80</c:v>
                  </c:pt>
                  <c:pt idx="3">
                    <c:v>70</c:v>
                  </c:pt>
                  <c:pt idx="4">
                    <c:v>65</c:v>
                  </c:pt>
                  <c:pt idx="5">
                    <c:v>60</c:v>
                  </c:pt>
                  <c:pt idx="6">
                    <c:v>50</c:v>
                  </c:pt>
                  <c:pt idx="7">
                    <c:v>65</c:v>
                  </c:pt>
                  <c:pt idx="8">
                    <c:v>40</c:v>
                  </c:pt>
                  <c:pt idx="9">
                    <c:v>30</c:v>
                  </c:pt>
                  <c:pt idx="10">
                    <c:v>20</c:v>
                  </c:pt>
                </c:lvl>
              </c:multiLvlStrCache>
            </c:multiLvlStrRef>
          </c:cat>
          <c:val>
            <c:numRef>
              <c:f>Empacotamento!$G$57:$G$68</c:f>
              <c:numCache>
                <c:formatCode>0.0</c:formatCode>
                <c:ptCount val="12"/>
                <c:pt idx="0">
                  <c:v>38.145247351888642</c:v>
                </c:pt>
                <c:pt idx="1">
                  <c:v>34.024254057344571</c:v>
                </c:pt>
                <c:pt idx="2">
                  <c:v>31.247752606975894</c:v>
                </c:pt>
                <c:pt idx="3">
                  <c:v>29.637628372792285</c:v>
                </c:pt>
                <c:pt idx="4">
                  <c:v>28.502396823875088</c:v>
                </c:pt>
                <c:pt idx="5">
                  <c:v>28.228232091146349</c:v>
                </c:pt>
                <c:pt idx="6">
                  <c:v>24.669389176980214</c:v>
                </c:pt>
                <c:pt idx="7">
                  <c:v>22.052122197457592</c:v>
                </c:pt>
                <c:pt idx="8">
                  <c:v>22.715097568702809</c:v>
                </c:pt>
                <c:pt idx="9">
                  <c:v>25.595367005655454</c:v>
                </c:pt>
                <c:pt idx="10">
                  <c:v>30.662038629232384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9-4266-90C7-9B6CEE72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700863"/>
        <c:axId val="1"/>
      </c:lineChart>
      <c:catAx>
        <c:axId val="273700863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Mat 5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Mist 3</a:t>
                </a:r>
              </a:p>
            </c:rich>
          </c:tx>
          <c:layout>
            <c:manualLayout>
              <c:xMode val="edge"/>
              <c:yMode val="edge"/>
              <c:x val="3.4249052201808107E-2"/>
              <c:y val="0.7311803415877362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Índice de Volume de Vazios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73700863"/>
        <c:crosses val="autoZero"/>
        <c:crossBetween val="between"/>
        <c:majorUnit val="5"/>
        <c:min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Índice de Volume de Vazios (%)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Mistura 4 e Material 6</a:t>
            </a:r>
          </a:p>
        </c:rich>
      </c:tx>
      <c:layout>
        <c:manualLayout>
          <c:xMode val="edge"/>
          <c:yMode val="edge"/>
          <c:x val="0.33604132816731241"/>
          <c:y val="1.4492753623188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147168319441"/>
          <c:y val="0.13755534095973848"/>
          <c:w val="0.8476724448174302"/>
          <c:h val="0.56732671211737395"/>
        </c:manualLayout>
      </c:layout>
      <c:lineChart>
        <c:grouping val="standard"/>
        <c:varyColors val="0"/>
        <c:ser>
          <c:idx val="1"/>
          <c:order val="0"/>
          <c:tx>
            <c:strRef>
              <c:f>Empacotamento!$G$71</c:f>
              <c:strCache>
                <c:ptCount val="1"/>
                <c:pt idx="0">
                  <c:v>Índice de Volume de Vazios (%)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cat>
            <c:multiLvlStrRef>
              <c:f>Empacotamento!$A$72:$B$83</c:f>
              <c:multiLvlStrCache>
                <c:ptCount val="6"/>
                <c:lvl>
                  <c:pt idx="0">
                    <c:v>0</c:v>
                  </c:pt>
                  <c:pt idx="1">
                    <c:v>5</c:v>
                  </c:pt>
                  <c:pt idx="2">
                    <c:v>10</c:v>
                  </c:pt>
                  <c:pt idx="3">
                    <c:v>15</c:v>
                  </c:pt>
                  <c:pt idx="4">
                    <c:v>20</c:v>
                  </c:pt>
                  <c:pt idx="5">
                    <c:v>30</c:v>
                  </c:pt>
                </c:lvl>
                <c:lvl>
                  <c:pt idx="0">
                    <c:v>100</c:v>
                  </c:pt>
                  <c:pt idx="1">
                    <c:v>95</c:v>
                  </c:pt>
                  <c:pt idx="2">
                    <c:v>90</c:v>
                  </c:pt>
                  <c:pt idx="3">
                    <c:v>85</c:v>
                  </c:pt>
                  <c:pt idx="4">
                    <c:v>80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Empacotamento!$G$72:$G$83</c:f>
              <c:numCache>
                <c:formatCode>0.0</c:formatCode>
                <c:ptCount val="12"/>
                <c:pt idx="0">
                  <c:v>24.767772527979329</c:v>
                </c:pt>
                <c:pt idx="1">
                  <c:v>20.411484385815804</c:v>
                </c:pt>
                <c:pt idx="2">
                  <c:v>19.581222327112837</c:v>
                </c:pt>
                <c:pt idx="3">
                  <c:v>20.310487791176321</c:v>
                </c:pt>
                <c:pt idx="4">
                  <c:v>21.800959709437034</c:v>
                </c:pt>
                <c:pt idx="5">
                  <c:v>19.792722613083576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5-433C-8FB2-039B8C66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700863"/>
        <c:axId val="1"/>
      </c:lineChart>
      <c:catAx>
        <c:axId val="273700863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Mat 6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% Mist 4</a:t>
                </a:r>
              </a:p>
            </c:rich>
          </c:tx>
          <c:layout>
            <c:manualLayout>
              <c:xMode val="edge"/>
              <c:yMode val="edge"/>
              <c:x val="3.4249052201808107E-2"/>
              <c:y val="0.740842177336528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Índice de Volume de Vazios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73700863"/>
        <c:crosses val="autoZero"/>
        <c:crossBetween val="between"/>
        <c:majorUnit val="5"/>
        <c:min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Linearização curvas de Abrams </a:t>
            </a:r>
          </a:p>
        </c:rich>
      </c:tx>
      <c:layout>
        <c:manualLayout>
          <c:xMode val="edge"/>
          <c:yMode val="edge"/>
          <c:x val="0.35653269428277989"/>
          <c:y val="3.79158114714333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43880943802488"/>
          <c:y val="0.10900817636534309"/>
          <c:w val="0.76524101536974598"/>
          <c:h val="0.65878854412098653"/>
        </c:manualLayout>
      </c:layout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9.6608173660752694E-2"/>
                  <c:y val="0.2196619941434005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dosagem (3t)'!$I$5:$I$7</c:f>
              <c:numCache>
                <c:formatCode>0.00</c:formatCode>
                <c:ptCount val="3"/>
                <c:pt idx="0">
                  <c:v>0.45</c:v>
                </c:pt>
                <c:pt idx="1">
                  <c:v>0.56999999999999995</c:v>
                </c:pt>
                <c:pt idx="2">
                  <c:v>0.68</c:v>
                </c:pt>
              </c:numCache>
            </c:numRef>
          </c:xVal>
          <c:yVal>
            <c:numRef>
              <c:f>'Curvas dosagem (3t)'!$O$5:$O$7</c:f>
              <c:numCache>
                <c:formatCode>0.0000</c:formatCode>
                <c:ptCount val="3"/>
                <c:pt idx="0">
                  <c:v>1.7558748556724915</c:v>
                </c:pt>
                <c:pt idx="1">
                  <c:v>1.5563025007672873</c:v>
                </c:pt>
                <c:pt idx="2">
                  <c:v>1.1760912590556813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8F-4B12-A337-2FA0C80BF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01967"/>
        <c:axId val="1"/>
      </c:scatterChart>
      <c:valAx>
        <c:axId val="271001967"/>
        <c:scaling>
          <c:orientation val="minMax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a/c</a:t>
                </a:r>
              </a:p>
            </c:rich>
          </c:tx>
          <c:layout>
            <c:manualLayout>
              <c:xMode val="edge"/>
              <c:yMode val="edge"/>
              <c:x val="0.48987013579824262"/>
              <c:y val="0.838889054744934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.7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Log.fcj</a:t>
                </a:r>
              </a:p>
            </c:rich>
          </c:tx>
          <c:layout>
            <c:manualLayout>
              <c:xMode val="edge"/>
              <c:yMode val="edge"/>
              <c:x val="3.1884970900376584E-2"/>
              <c:y val="0.345982386087994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1001967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536866151804752"/>
          <c:y val="0.9058286179331656"/>
          <c:w val="0.49877479100110911"/>
          <c:h val="7.608960390638591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2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28796794444792"/>
          <c:y val="0.11682648664092976"/>
          <c:w val="0.7492766657095089"/>
          <c:h val="0.69161280091430422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'Curvas dosagem (3t)'!$B$18:$B$22</c:f>
              <c:numCache>
                <c:formatCode>0.0000</c:formatCode>
                <c:ptCount val="5"/>
                <c:pt idx="0">
                  <c:v>0.46307721387768436</c:v>
                </c:pt>
                <c:pt idx="1">
                  <c:v>0.49833546720563732</c:v>
                </c:pt>
                <c:pt idx="2">
                  <c:v>0.54265673461938779</c:v>
                </c:pt>
                <c:pt idx="3">
                  <c:v>0.60237449303814783</c:v>
                </c:pt>
                <c:pt idx="4">
                  <c:v>0.69426605150292842</c:v>
                </c:pt>
              </c:numCache>
            </c:numRef>
          </c:xVal>
          <c:yVal>
            <c:numRef>
              <c:f>'Curvas dosagem (3t)'!$C$18:$C$22</c:f>
              <c:numCache>
                <c:formatCode>0.0</c:formatCode>
                <c:ptCount val="5"/>
                <c:pt idx="0">
                  <c:v>57</c:v>
                </c:pt>
                <c:pt idx="1">
                  <c:v>46.5</c:v>
                </c:pt>
                <c:pt idx="2">
                  <c:v>36</c:v>
                </c:pt>
                <c:pt idx="3">
                  <c:v>25.5</c:v>
                </c:pt>
                <c:pt idx="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6-492B-835C-25BDE64AC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02799"/>
        <c:axId val="1"/>
      </c:scatterChart>
      <c:valAx>
        <c:axId val="271002799"/>
        <c:scaling>
          <c:orientation val="minMax"/>
          <c:max val="0.9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Relação a/c</a:t>
                </a:r>
              </a:p>
            </c:rich>
          </c:tx>
          <c:layout>
            <c:manualLayout>
              <c:xMode val="edge"/>
              <c:yMode val="edge"/>
              <c:x val="0.43284898342931016"/>
              <c:y val="0.90190043417470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0.1"/>
        <c:minorUnit val="0.1"/>
      </c:valAx>
      <c:valAx>
        <c:axId val="1"/>
        <c:scaling>
          <c:orientation val="minMax"/>
          <c:max val="6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Fcj (MPa)</a:t>
                </a:r>
              </a:p>
            </c:rich>
          </c:tx>
          <c:layout>
            <c:manualLayout>
              <c:xMode val="edge"/>
              <c:yMode val="edge"/>
              <c:x val="2.3881302150664006E-2"/>
              <c:y val="0.345806534697181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1002799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Linearização curvas de Lyse 0%</a:t>
            </a:r>
          </a:p>
        </c:rich>
      </c:tx>
      <c:layout>
        <c:manualLayout>
          <c:xMode val="edge"/>
          <c:yMode val="edge"/>
          <c:x val="0.3947492747617074"/>
          <c:y val="3.8890242310871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58311619321628"/>
          <c:y val="0.10555925123178768"/>
          <c:w val="0.77634038553997609"/>
          <c:h val="0.61113250713140232"/>
        </c:manualLayout>
      </c:layout>
      <c:scatterChart>
        <c:scatterStyle val="lineMarker"/>
        <c:varyColors val="0"/>
        <c:ser>
          <c:idx val="1"/>
          <c:order val="0"/>
          <c:spPr>
            <a:ln w="3175">
              <a:solidFill>
                <a:srgbClr val="00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36792830501450474"/>
                  <c:y val="0.1264849697655196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dosagem (3t)'!$I$5:$I$7</c:f>
              <c:numCache>
                <c:formatCode>0.00</c:formatCode>
                <c:ptCount val="3"/>
                <c:pt idx="0">
                  <c:v>0.45</c:v>
                </c:pt>
                <c:pt idx="1">
                  <c:v>0.56999999999999995</c:v>
                </c:pt>
                <c:pt idx="2">
                  <c:v>0.68</c:v>
                </c:pt>
              </c:numCache>
            </c:numRef>
          </c:xVal>
          <c:yVal>
            <c:numRef>
              <c:f>'Curvas dosagem (3t)'!$K$5:$K$7</c:f>
              <c:numCache>
                <c:formatCode>0.0</c:formatCode>
                <c:ptCount val="3"/>
                <c:pt idx="0">
                  <c:v>3</c:v>
                </c:pt>
                <c:pt idx="1">
                  <c:v>5</c:v>
                </c:pt>
                <c:pt idx="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1C-4CDE-938F-59A1C6B2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80335"/>
        <c:axId val="1"/>
      </c:scatterChart>
      <c:valAx>
        <c:axId val="270980335"/>
        <c:scaling>
          <c:orientation val="minMax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a/c</a:t>
                </a:r>
              </a:p>
            </c:rich>
          </c:tx>
          <c:layout>
            <c:manualLayout>
              <c:xMode val="edge"/>
              <c:yMode val="edge"/>
              <c:x val="0.50001574803149607"/>
              <c:y val="0.8000278418236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4.7369871529216748E-2"/>
              <c:y val="0.3777909253056075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80335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91124907961809"/>
          <c:y val="0.13636856648637813"/>
          <c:w val="0.78200286369130156"/>
          <c:h val="0.6534327144138952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'Curvas dosagem (3t)'!$A$38:$A$42</c:f>
              <c:numCache>
                <c:formatCode>0.0000</c:formatCode>
                <c:ptCount val="5"/>
                <c:pt idx="0">
                  <c:v>0.46307721387768436</c:v>
                </c:pt>
                <c:pt idx="1">
                  <c:v>0.49833546720563732</c:v>
                </c:pt>
                <c:pt idx="2">
                  <c:v>0.54265673461938779</c:v>
                </c:pt>
                <c:pt idx="3">
                  <c:v>0.60237449303814783</c:v>
                </c:pt>
                <c:pt idx="4">
                  <c:v>0.69426605150292842</c:v>
                </c:pt>
              </c:numCache>
            </c:numRef>
          </c:xVal>
          <c:yVal>
            <c:numRef>
              <c:f>'Curvas dosagem (3t)'!$B$38:$B$42</c:f>
              <c:numCache>
                <c:formatCode>0.00</c:formatCode>
                <c:ptCount val="5"/>
                <c:pt idx="0">
                  <c:v>3.1995787802418683</c:v>
                </c:pt>
                <c:pt idx="1">
                  <c:v>3.812379656722662</c:v>
                </c:pt>
                <c:pt idx="2">
                  <c:v>4.5826989140397352</c:v>
                </c:pt>
                <c:pt idx="3">
                  <c:v>5.620614614516926</c:v>
                </c:pt>
                <c:pt idx="4">
                  <c:v>7.2177223057184019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50-445D-8340-36E967540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94479"/>
        <c:axId val="1"/>
      </c:scatterChart>
      <c:valAx>
        <c:axId val="270994479"/>
        <c:scaling>
          <c:orientation val="minMax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Relação a/c</a:t>
                </a:r>
              </a:p>
            </c:rich>
          </c:tx>
          <c:layout>
            <c:manualLayout>
              <c:xMode val="edge"/>
              <c:yMode val="edge"/>
              <c:x val="0.415711637062809"/>
              <c:y val="0.8920774945504692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inorUnit val="0.1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8.7223036073979122E-3"/>
              <c:y val="0.4261839939499088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94479"/>
        <c:crosses val="autoZero"/>
        <c:crossBetween val="midCat"/>
        <c:majorUnit val="1"/>
        <c:minorUnit val="0.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3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Linearização curvas de Molinari 0%</a:t>
            </a:r>
          </a:p>
        </c:rich>
      </c:tx>
      <c:layout>
        <c:manualLayout>
          <c:xMode val="edge"/>
          <c:yMode val="edge"/>
          <c:x val="0.34037998878108572"/>
          <c:y val="2.4039106355724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73719973272534"/>
          <c:y val="0.12981204429804319"/>
          <c:w val="0.75200226497392719"/>
          <c:h val="0.64906022149021592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3615295119772298"/>
                  <c:y val="5.373243416343292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dosagem (3t)'!$P$5:$P$7</c:f>
              <c:numCache>
                <c:formatCode>0.0000</c:formatCode>
                <c:ptCount val="3"/>
                <c:pt idx="0">
                  <c:v>1.8394309210526326E-3</c:v>
                </c:pt>
                <c:pt idx="1">
                  <c:v>2.6979941176470592E-3</c:v>
                </c:pt>
                <c:pt idx="2">
                  <c:v>3.587923684210527E-3</c:v>
                </c:pt>
              </c:numCache>
            </c:numRef>
          </c:xVal>
          <c:yVal>
            <c:numRef>
              <c:f>'Curvas dosagem (3t)'!$K$5:$K$7</c:f>
              <c:numCache>
                <c:formatCode>0.0</c:formatCode>
                <c:ptCount val="3"/>
                <c:pt idx="0">
                  <c:v>3</c:v>
                </c:pt>
                <c:pt idx="1">
                  <c:v>5</c:v>
                </c:pt>
                <c:pt idx="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3-4180-A22F-223F6F55A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94895"/>
        <c:axId val="1"/>
      </c:scatterChart>
      <c:valAx>
        <c:axId val="270994895"/>
        <c:scaling>
          <c:orientation val="minMax"/>
          <c:max val="4.0000000000000001E-3"/>
          <c:min val="1.5E-3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1/c</a:t>
                </a:r>
              </a:p>
            </c:rich>
          </c:tx>
          <c:layout>
            <c:manualLayout>
              <c:xMode val="edge"/>
              <c:yMode val="edge"/>
              <c:x val="0.46967153512143434"/>
              <c:y val="0.850990091549561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0.1"/>
        <c:minorUnit val="0.05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2.3747532877651509E-2"/>
              <c:y val="0.42309083374147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94895"/>
        <c:crossesAt val="0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025563521915005"/>
          <c:y val="0.90184640455056853"/>
          <c:w val="0.43116496398880061"/>
          <c:h val="7.6366026191782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3621379502346"/>
          <c:y val="0.12621754692761691"/>
          <c:w val="0.75524699770719428"/>
          <c:h val="0.6407967767094398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'Curvas dosagem (3t)'!$A$57:$A$61</c:f>
              <c:numCache>
                <c:formatCode>0.00</c:formatCode>
                <c:ptCount val="5"/>
                <c:pt idx="0">
                  <c:v>520.46486492348379</c:v>
                </c:pt>
                <c:pt idx="1">
                  <c:v>456.77587192794812</c:v>
                </c:pt>
                <c:pt idx="2">
                  <c:v>395.87999381763433</c:v>
                </c:pt>
                <c:pt idx="3">
                  <c:v>335.59707930396439</c:v>
                </c:pt>
                <c:pt idx="4">
                  <c:v>271.88900816963053</c:v>
                </c:pt>
              </c:numCache>
            </c:numRef>
          </c:xVal>
          <c:yVal>
            <c:numRef>
              <c:f>'Curvas dosagem (3t)'!$B$57:$B$61</c:f>
              <c:numCache>
                <c:formatCode>0.00</c:formatCode>
                <c:ptCount val="5"/>
                <c:pt idx="0">
                  <c:v>3.1995787802418683</c:v>
                </c:pt>
                <c:pt idx="1">
                  <c:v>3.812379656722662</c:v>
                </c:pt>
                <c:pt idx="2">
                  <c:v>4.5826989140397352</c:v>
                </c:pt>
                <c:pt idx="3">
                  <c:v>5.620614614516926</c:v>
                </c:pt>
                <c:pt idx="4">
                  <c:v>7.2177223057184019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7-49B4-8A2D-61DFA001B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80751"/>
        <c:axId val="1"/>
      </c:scatterChart>
      <c:valAx>
        <c:axId val="270980751"/>
        <c:scaling>
          <c:orientation val="minMax"/>
          <c:max val="6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10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Consumo (Kg/m</a:t>
                </a:r>
                <a:r>
                  <a:rPr lang="pt-BR" sz="10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3</a:t>
                </a:r>
                <a:r>
                  <a:rPr lang="pt-BR" sz="10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34926430837936301"/>
              <c:y val="0.888377268058883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50"/>
        <c:minorUnit val="20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7.0513573862968617E-7"/>
              <c:y val="0.417488683479782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80751"/>
        <c:crossesAt val="180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Linearização curvas de Abrams </a:t>
            </a:r>
          </a:p>
        </c:rich>
      </c:tx>
      <c:layout>
        <c:manualLayout>
          <c:xMode val="edge"/>
          <c:yMode val="edge"/>
          <c:x val="0.35653269428277989"/>
          <c:y val="3.79158114714333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43880943802488"/>
          <c:y val="0.10900817636534309"/>
          <c:w val="0.76524101536974598"/>
          <c:h val="0.65878854412098653"/>
        </c:manualLayout>
      </c:layout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9.6608173660752694E-2"/>
                  <c:y val="0.2196619941434005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dosagem (4t)'!$I$5:$I$8</c:f>
              <c:numCache>
                <c:formatCode>0.00</c:formatCode>
                <c:ptCount val="4"/>
                <c:pt idx="0">
                  <c:v>0.45</c:v>
                </c:pt>
                <c:pt idx="1">
                  <c:v>0.56999999999999995</c:v>
                </c:pt>
                <c:pt idx="2">
                  <c:v>0.6</c:v>
                </c:pt>
                <c:pt idx="3">
                  <c:v>0.68</c:v>
                </c:pt>
              </c:numCache>
            </c:numRef>
          </c:xVal>
          <c:yVal>
            <c:numRef>
              <c:f>'Curvas dosagem (4t)'!$O$5:$O$8</c:f>
              <c:numCache>
                <c:formatCode>0.0000</c:formatCode>
                <c:ptCount val="4"/>
                <c:pt idx="0">
                  <c:v>1.7558748556724915</c:v>
                </c:pt>
                <c:pt idx="1">
                  <c:v>1.5563025007672873</c:v>
                </c:pt>
                <c:pt idx="2">
                  <c:v>1.4623979978989561</c:v>
                </c:pt>
                <c:pt idx="3">
                  <c:v>1.1760912590556813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6-4047-AC42-C9D9C6B92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01967"/>
        <c:axId val="1"/>
      </c:scatterChart>
      <c:valAx>
        <c:axId val="271001967"/>
        <c:scaling>
          <c:orientation val="minMax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a/c</a:t>
                </a:r>
              </a:p>
            </c:rich>
          </c:tx>
          <c:layout>
            <c:manualLayout>
              <c:xMode val="edge"/>
              <c:yMode val="edge"/>
              <c:x val="0.48987013579824262"/>
              <c:y val="0.838889054744934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.7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Log.fcj</a:t>
                </a:r>
              </a:p>
            </c:rich>
          </c:tx>
          <c:layout>
            <c:manualLayout>
              <c:xMode val="edge"/>
              <c:yMode val="edge"/>
              <c:x val="3.1884970900376584E-2"/>
              <c:y val="0.345982386087994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1001967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536866151804752"/>
          <c:y val="0.9058286179331656"/>
          <c:w val="0.49877479100110911"/>
          <c:h val="7.608960390638591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2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28796794444792"/>
          <c:y val="0.11682648664092976"/>
          <c:w val="0.7492766657095089"/>
          <c:h val="0.69161280091430422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'Curvas dosagem (4t)'!$B$19:$B$25</c:f>
              <c:numCache>
                <c:formatCode>0.0000</c:formatCode>
                <c:ptCount val="7"/>
                <c:pt idx="0">
                  <c:v>0.46606690105451248</c:v>
                </c:pt>
                <c:pt idx="1">
                  <c:v>0.50197956815902844</c:v>
                </c:pt>
                <c:pt idx="2">
                  <c:v>0.54712346418459668</c:v>
                </c:pt>
                <c:pt idx="3">
                  <c:v>0.56516435371638429</c:v>
                </c:pt>
                <c:pt idx="4">
                  <c:v>0.58526289621445626</c:v>
                </c:pt>
                <c:pt idx="5">
                  <c:v>0.63399102224825821</c:v>
                </c:pt>
                <c:pt idx="6">
                  <c:v>0.70154673854643468</c:v>
                </c:pt>
              </c:numCache>
            </c:numRef>
          </c:xVal>
          <c:yVal>
            <c:numRef>
              <c:f>'Curvas dosagem (4t)'!$C$19:$C$25</c:f>
              <c:numCache>
                <c:formatCode>0.0</c:formatCode>
                <c:ptCount val="7"/>
                <c:pt idx="0">
                  <c:v>57</c:v>
                </c:pt>
                <c:pt idx="1">
                  <c:v>46.5</c:v>
                </c:pt>
                <c:pt idx="2">
                  <c:v>36</c:v>
                </c:pt>
                <c:pt idx="3">
                  <c:v>32.5</c:v>
                </c:pt>
                <c:pt idx="4">
                  <c:v>29</c:v>
                </c:pt>
                <c:pt idx="5">
                  <c:v>22</c:v>
                </c:pt>
                <c:pt idx="6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1-48B7-A07B-07A19AF3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02799"/>
        <c:axId val="1"/>
      </c:scatterChart>
      <c:valAx>
        <c:axId val="271002799"/>
        <c:scaling>
          <c:orientation val="minMax"/>
          <c:max val="0.9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Relação a/c</a:t>
                </a:r>
              </a:p>
            </c:rich>
          </c:tx>
          <c:layout>
            <c:manualLayout>
              <c:xMode val="edge"/>
              <c:yMode val="edge"/>
              <c:x val="0.43284898342931016"/>
              <c:y val="0.90190043417470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0.1"/>
        <c:minorUnit val="0.1"/>
      </c:valAx>
      <c:valAx>
        <c:axId val="1"/>
        <c:scaling>
          <c:orientation val="minMax"/>
          <c:max val="6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Fcj (MPa)</a:t>
                </a:r>
              </a:p>
            </c:rich>
          </c:tx>
          <c:layout>
            <c:manualLayout>
              <c:xMode val="edge"/>
              <c:yMode val="edge"/>
              <c:x val="2.3881302150664006E-2"/>
              <c:y val="0.345806534697181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1002799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Linearização curvas de Lyse 0%</a:t>
            </a:r>
          </a:p>
        </c:rich>
      </c:tx>
      <c:layout>
        <c:manualLayout>
          <c:xMode val="edge"/>
          <c:yMode val="edge"/>
          <c:x val="0.3947492747617074"/>
          <c:y val="3.8890242310871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58311619321628"/>
          <c:y val="0.10555925123178768"/>
          <c:w val="0.77634038553997609"/>
          <c:h val="0.61113250713140232"/>
        </c:manualLayout>
      </c:layout>
      <c:scatterChart>
        <c:scatterStyle val="lineMarker"/>
        <c:varyColors val="0"/>
        <c:ser>
          <c:idx val="1"/>
          <c:order val="0"/>
          <c:spPr>
            <a:ln w="3175">
              <a:solidFill>
                <a:srgbClr val="00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36792830501450474"/>
                  <c:y val="0.1264849697655196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dosagem (4t)'!$I$5:$I$8</c:f>
              <c:numCache>
                <c:formatCode>0.00</c:formatCode>
                <c:ptCount val="4"/>
                <c:pt idx="0">
                  <c:v>0.45</c:v>
                </c:pt>
                <c:pt idx="1">
                  <c:v>0.56999999999999995</c:v>
                </c:pt>
                <c:pt idx="2">
                  <c:v>0.6</c:v>
                </c:pt>
                <c:pt idx="3">
                  <c:v>0.68</c:v>
                </c:pt>
              </c:numCache>
            </c:numRef>
          </c:xVal>
          <c:yVal>
            <c:numRef>
              <c:f>'Curvas dosagem (4t)'!$K$5:$K$8</c:f>
              <c:numCache>
                <c:formatCode>0.0</c:formatCode>
                <c:ptCount val="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8-4ECE-A471-07A87584C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80335"/>
        <c:axId val="1"/>
      </c:scatterChart>
      <c:valAx>
        <c:axId val="270980335"/>
        <c:scaling>
          <c:orientation val="minMax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a/c</a:t>
                </a:r>
              </a:p>
            </c:rich>
          </c:tx>
          <c:layout>
            <c:manualLayout>
              <c:xMode val="edge"/>
              <c:yMode val="edge"/>
              <c:x val="0.50001574803149607"/>
              <c:y val="0.80002784182363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4.7369871529216748E-2"/>
              <c:y val="0.3777909253056075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80335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91124907961809"/>
          <c:y val="0.13636856648637813"/>
          <c:w val="0.78200286369130156"/>
          <c:h val="0.6534327144138952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'Curvas dosagem (4t)'!$A$40:$A$46</c:f>
              <c:numCache>
                <c:formatCode>0.0000</c:formatCode>
                <c:ptCount val="7"/>
                <c:pt idx="0">
                  <c:v>0.46606690105451248</c:v>
                </c:pt>
                <c:pt idx="1">
                  <c:v>0.50197956815902844</c:v>
                </c:pt>
                <c:pt idx="2">
                  <c:v>0.54712346418459668</c:v>
                </c:pt>
                <c:pt idx="3">
                  <c:v>0.56516435371638429</c:v>
                </c:pt>
                <c:pt idx="4">
                  <c:v>0.58526289621445626</c:v>
                </c:pt>
                <c:pt idx="5">
                  <c:v>0.63399102224825821</c:v>
                </c:pt>
                <c:pt idx="6">
                  <c:v>0.70154673854643468</c:v>
                </c:pt>
              </c:numCache>
            </c:numRef>
          </c:xVal>
          <c:yVal>
            <c:numRef>
              <c:f>'Curvas dosagem (4t)'!$B$40:$B$46</c:f>
              <c:numCache>
                <c:formatCode>0.00</c:formatCode>
                <c:ptCount val="7"/>
                <c:pt idx="0">
                  <c:v>3.3147416487706423</c:v>
                </c:pt>
                <c:pt idx="1">
                  <c:v>3.9527505698581962</c:v>
                </c:pt>
                <c:pt idx="2">
                  <c:v>4.7547575139021738</c:v>
                </c:pt>
                <c:pt idx="3">
                  <c:v>5.0752641594302688</c:v>
                </c:pt>
                <c:pt idx="4">
                  <c:v>5.4323261781689105</c:v>
                </c:pt>
                <c:pt idx="5">
                  <c:v>6.2980090033115452</c:v>
                </c:pt>
                <c:pt idx="6">
                  <c:v>7.4981746591582699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A6-42A5-BE7E-967DE0F59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94479"/>
        <c:axId val="1"/>
      </c:scatterChart>
      <c:valAx>
        <c:axId val="270994479"/>
        <c:scaling>
          <c:orientation val="minMax"/>
          <c:min val="0.3"/>
        </c:scaling>
        <c:delete val="0"/>
        <c:axPos val="b"/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Relação a/c</a:t>
                </a:r>
              </a:p>
            </c:rich>
          </c:tx>
          <c:layout>
            <c:manualLayout>
              <c:xMode val="edge"/>
              <c:yMode val="edge"/>
              <c:x val="0.415711637062809"/>
              <c:y val="0.8920774945504692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inorUnit val="0.1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8.7223036073979122E-3"/>
              <c:y val="0.4261839939499088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94479"/>
        <c:crosses val="autoZero"/>
        <c:crossBetween val="midCat"/>
        <c:majorUnit val="1"/>
        <c:minorUnit val="0.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3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Linearização curvas de Molinari 0%</a:t>
            </a:r>
          </a:p>
        </c:rich>
      </c:tx>
      <c:layout>
        <c:manualLayout>
          <c:xMode val="edge"/>
          <c:yMode val="edge"/>
          <c:x val="0.34037998878108572"/>
          <c:y val="2.4039106355724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73719973272534"/>
          <c:y val="0.12981204429804319"/>
          <c:w val="0.75200226497392719"/>
          <c:h val="0.64906022149021592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3615295119772298"/>
                  <c:y val="5.373243416343292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dosagem (4t)'!$P$5:$P$8</c:f>
              <c:numCache>
                <c:formatCode>0.0000</c:formatCode>
                <c:ptCount val="4"/>
                <c:pt idx="0">
                  <c:v>1.8394309210526326E-3</c:v>
                </c:pt>
                <c:pt idx="1">
                  <c:v>2.6979941176470592E-3</c:v>
                </c:pt>
                <c:pt idx="2">
                  <c:v>3.1209673202614381E-3</c:v>
                </c:pt>
                <c:pt idx="3">
                  <c:v>3.587923684210527E-3</c:v>
                </c:pt>
              </c:numCache>
            </c:numRef>
          </c:xVal>
          <c:yVal>
            <c:numRef>
              <c:f>'Curvas dosagem (4t)'!$K$5:$K$8</c:f>
              <c:numCache>
                <c:formatCode>0.0</c:formatCode>
                <c:ptCount val="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8-4F13-97BB-B4F06B46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94895"/>
        <c:axId val="1"/>
      </c:scatterChart>
      <c:valAx>
        <c:axId val="270994895"/>
        <c:scaling>
          <c:orientation val="minMax"/>
          <c:max val="4.0000000000000001E-3"/>
          <c:min val="1.5E-3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1/c</a:t>
                </a:r>
              </a:p>
            </c:rich>
          </c:tx>
          <c:layout>
            <c:manualLayout>
              <c:xMode val="edge"/>
              <c:yMode val="edge"/>
              <c:x val="0.46967153512143434"/>
              <c:y val="0.850990091549561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0.1"/>
        <c:minorUnit val="0.05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2.3747532877651509E-2"/>
              <c:y val="0.42309083374147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94895"/>
        <c:crossesAt val="0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025563521915005"/>
          <c:y val="0.90184640455056853"/>
          <c:w val="0.43116496398880061"/>
          <c:h val="7.6366026191782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3621379502346"/>
          <c:y val="0.12621754692761691"/>
          <c:w val="0.75524699770719428"/>
          <c:h val="0.6407967767094398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507.76375949966501</c:v>
              </c:pt>
              <c:pt idx="1">
                <c:v>445.02598907061764</c:v>
              </c:pt>
              <c:pt idx="2">
                <c:v>385.19819376954467</c:v>
              </c:pt>
              <c:pt idx="3">
                <c:v>365.5585553608143</c:v>
              </c:pt>
              <c:pt idx="4">
                <c:v>345.91049851142139</c:v>
              </c:pt>
              <c:pt idx="5">
                <c:v>306.03152545488484</c:v>
              </c:pt>
              <c:pt idx="6">
                <c:v>263.85858812672319</c:v>
              </c:pt>
            </c:numLit>
          </c:xVal>
          <c:yVal>
            <c:numRef>
              <c:f>'Curvas dosagem (4t)'!$B$62:$B$68</c:f>
              <c:numCache>
                <c:formatCode>0.00</c:formatCode>
                <c:ptCount val="7"/>
                <c:pt idx="0">
                  <c:v>3.3147416487706423</c:v>
                </c:pt>
                <c:pt idx="1">
                  <c:v>3.9527505698581962</c:v>
                </c:pt>
                <c:pt idx="2">
                  <c:v>4.7547575139021738</c:v>
                </c:pt>
                <c:pt idx="3">
                  <c:v>5.0752641594302688</c:v>
                </c:pt>
                <c:pt idx="4">
                  <c:v>5.4323261781689105</c:v>
                </c:pt>
                <c:pt idx="5">
                  <c:v>6.2980090033115452</c:v>
                </c:pt>
                <c:pt idx="6">
                  <c:v>7.4981746591582699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B-4020-8991-C52DDAA0B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80751"/>
        <c:axId val="1"/>
      </c:scatterChart>
      <c:valAx>
        <c:axId val="270980751"/>
        <c:scaling>
          <c:orientation val="minMax"/>
          <c:max val="6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10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Consumo (Kg/m</a:t>
                </a:r>
                <a:r>
                  <a:rPr lang="pt-BR" sz="10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3</a:t>
                </a:r>
                <a:r>
                  <a:rPr lang="pt-BR" sz="10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34926430837936301"/>
              <c:y val="0.888377268058883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50"/>
        <c:minorUnit val="20"/>
      </c:valAx>
      <c:valAx>
        <c:axId val="1"/>
        <c:scaling>
          <c:orientation val="minMax"/>
          <c:max val="8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m</a:t>
                </a:r>
              </a:p>
            </c:rich>
          </c:tx>
          <c:layout>
            <c:manualLayout>
              <c:xMode val="edge"/>
              <c:yMode val="edge"/>
              <c:x val="7.0513573862968617E-7"/>
              <c:y val="0.417488683479782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70980751"/>
        <c:crossesAt val="180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&#225;lculo dos tra&#231;os (3t)'!A1"/><Relationship Id="rId13" Type="http://schemas.openxmlformats.org/officeDocument/2006/relationships/hyperlink" Target="#'Granulometeria 1 Brita'!A1"/><Relationship Id="rId3" Type="http://schemas.openxmlformats.org/officeDocument/2006/relationships/hyperlink" Target="#'Mescla 3 Areias'!A1"/><Relationship Id="rId7" Type="http://schemas.openxmlformats.org/officeDocument/2006/relationships/hyperlink" Target="#'Curvas dosagem (3t)'!A1"/><Relationship Id="rId12" Type="http://schemas.openxmlformats.org/officeDocument/2006/relationships/hyperlink" Target="#'C&#225;lculo dos tra&#231;os (4t)'!A1"/><Relationship Id="rId2" Type="http://schemas.openxmlformats.org/officeDocument/2006/relationships/hyperlink" Target="#'Mescla 2 Areias'!A1"/><Relationship Id="rId1" Type="http://schemas.openxmlformats.org/officeDocument/2006/relationships/hyperlink" Target="Granulometria%20Brita.xlsx" TargetMode="External"/><Relationship Id="rId6" Type="http://schemas.openxmlformats.org/officeDocument/2006/relationships/hyperlink" Target="#'3 tra&#231;os'!A1"/><Relationship Id="rId11" Type="http://schemas.openxmlformats.org/officeDocument/2006/relationships/hyperlink" Target="#'Curvas dosagem (4t)'!A1"/><Relationship Id="rId5" Type="http://schemas.openxmlformats.org/officeDocument/2006/relationships/hyperlink" Target="#Tra&#231;os!A1"/><Relationship Id="rId10" Type="http://schemas.openxmlformats.org/officeDocument/2006/relationships/hyperlink" Target="#'4 tra&#231;os'!A1"/><Relationship Id="rId4" Type="http://schemas.openxmlformats.org/officeDocument/2006/relationships/hyperlink" Target="#'1 Areia'!A1"/><Relationship Id="rId9" Type="http://schemas.openxmlformats.org/officeDocument/2006/relationships/hyperlink" Target="#Empacotamento!A1"/><Relationship Id="rId14" Type="http://schemas.openxmlformats.org/officeDocument/2006/relationships/hyperlink" Target="#'Granulometria 2 Brita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Empacotamento!A1"/><Relationship Id="rId2" Type="http://schemas.openxmlformats.org/officeDocument/2006/relationships/hyperlink" Target="#MENU!A1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Empacotamento!A1"/><Relationship Id="rId2" Type="http://schemas.openxmlformats.org/officeDocument/2006/relationships/hyperlink" Target="#MENU!A1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Empacotamento!A1"/><Relationship Id="rId2" Type="http://schemas.openxmlformats.org/officeDocument/2006/relationships/hyperlink" Target="#MENU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Mescla 3 Areias'!A1"/><Relationship Id="rId3" Type="http://schemas.openxmlformats.org/officeDocument/2006/relationships/chart" Target="../charts/chart8.xml"/><Relationship Id="rId7" Type="http://schemas.openxmlformats.org/officeDocument/2006/relationships/hyperlink" Target="#'Mescla 2 Areias'!A1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hyperlink" Target="#Tra&#231;os!A1"/><Relationship Id="rId5" Type="http://schemas.openxmlformats.org/officeDocument/2006/relationships/hyperlink" Target="#MENU!A1"/><Relationship Id="rId10" Type="http://schemas.openxmlformats.org/officeDocument/2006/relationships/chart" Target="../charts/chart10.xml"/><Relationship Id="rId4" Type="http://schemas.openxmlformats.org/officeDocument/2006/relationships/hyperlink" Target="#'1 Areia'!A1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3 tra&#231;os'!A1"/><Relationship Id="rId2" Type="http://schemas.openxmlformats.org/officeDocument/2006/relationships/hyperlink" Target="#Empacotamento!A1"/><Relationship Id="rId1" Type="http://schemas.openxmlformats.org/officeDocument/2006/relationships/hyperlink" Target="#MENU!A1"/><Relationship Id="rId4" Type="http://schemas.openxmlformats.org/officeDocument/2006/relationships/hyperlink" Target="#'4 tra&#231;os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Tra&#231;os!A1"/><Relationship Id="rId2" Type="http://schemas.openxmlformats.org/officeDocument/2006/relationships/hyperlink" Target="#Empacotamento!A1"/><Relationship Id="rId1" Type="http://schemas.openxmlformats.org/officeDocument/2006/relationships/hyperlink" Target="#MENU!A1"/><Relationship Id="rId5" Type="http://schemas.openxmlformats.org/officeDocument/2006/relationships/hyperlink" Target="#'Curvas dosagem (3t)'!A1"/><Relationship Id="rId4" Type="http://schemas.openxmlformats.org/officeDocument/2006/relationships/hyperlink" Target="#'4 tra&#231;os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3 tra&#231;os'!A1"/><Relationship Id="rId3" Type="http://schemas.openxmlformats.org/officeDocument/2006/relationships/chart" Target="../charts/chart13.xml"/><Relationship Id="rId7" Type="http://schemas.openxmlformats.org/officeDocument/2006/relationships/hyperlink" Target="#MENU!A1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hyperlink" Target="#'C&#225;lculo dos tra&#231;os (3t)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3 tra&#231;os'!A1"/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Tra&#231;os!A1"/><Relationship Id="rId2" Type="http://schemas.openxmlformats.org/officeDocument/2006/relationships/hyperlink" Target="#Empacotamento!A1"/><Relationship Id="rId1" Type="http://schemas.openxmlformats.org/officeDocument/2006/relationships/hyperlink" Target="#MENU!A1"/><Relationship Id="rId5" Type="http://schemas.openxmlformats.org/officeDocument/2006/relationships/hyperlink" Target="#'Curvas dosagem (4t)'!A1"/><Relationship Id="rId4" Type="http://schemas.openxmlformats.org/officeDocument/2006/relationships/hyperlink" Target="#'3 tra&#231;os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4 tra&#231;os'!A1"/><Relationship Id="rId3" Type="http://schemas.openxmlformats.org/officeDocument/2006/relationships/chart" Target="../charts/chart19.xml"/><Relationship Id="rId7" Type="http://schemas.openxmlformats.org/officeDocument/2006/relationships/hyperlink" Target="#MENU!A1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9" Type="http://schemas.openxmlformats.org/officeDocument/2006/relationships/hyperlink" Target="#'C&#225;lculo dos tra&#231;os (4t)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'Curvas dosagem (4t)'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0</xdr:row>
      <xdr:rowOff>28574</xdr:rowOff>
    </xdr:from>
    <xdr:to>
      <xdr:col>32</xdr:col>
      <xdr:colOff>190501</xdr:colOff>
      <xdr:row>12</xdr:row>
      <xdr:rowOff>223307</xdr:rowOff>
    </xdr:to>
    <xdr:grpSp>
      <xdr:nvGrpSpPr>
        <xdr:cNvPr id="6" name="Agrupar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B77E4-923F-4E6B-BF18-B0F6349CFA8F}"/>
            </a:ext>
          </a:extLst>
        </xdr:cNvPr>
        <xdr:cNvGrpSpPr/>
      </xdr:nvGrpSpPr>
      <xdr:grpSpPr>
        <a:xfrm>
          <a:off x="2511424" y="28574"/>
          <a:ext cx="11496677" cy="4309533"/>
          <a:chOff x="126857" y="85725"/>
          <a:chExt cx="11112564" cy="4083050"/>
        </a:xfrm>
      </xdr:grpSpPr>
      <xdr:grpSp>
        <xdr:nvGrpSpPr>
          <xdr:cNvPr id="144" name="Agrupar 143">
            <a:extLst>
              <a:ext uri="{FF2B5EF4-FFF2-40B4-BE49-F238E27FC236}">
                <a16:creationId xmlns:a16="http://schemas.microsoft.com/office/drawing/2014/main" id="{AF4557BB-2766-4DF8-8E96-58FF6888CCC1}"/>
              </a:ext>
            </a:extLst>
          </xdr:cNvPr>
          <xdr:cNvGrpSpPr/>
        </xdr:nvGrpSpPr>
        <xdr:grpSpPr>
          <a:xfrm>
            <a:off x="126857" y="85725"/>
            <a:ext cx="8783252" cy="4083050"/>
            <a:chOff x="29583" y="85725"/>
            <a:chExt cx="8942967" cy="4286250"/>
          </a:xfrm>
        </xdr:grpSpPr>
        <xdr:sp macro="" textlink="">
          <xdr:nvSpPr>
            <xdr:cNvPr id="143" name="Retângulo 142">
              <a:extLst>
                <a:ext uri="{FF2B5EF4-FFF2-40B4-BE49-F238E27FC236}">
                  <a16:creationId xmlns:a16="http://schemas.microsoft.com/office/drawing/2014/main" id="{C7D5674A-54BE-4FEA-8803-7B7FFE188223}"/>
                </a:ext>
              </a:extLst>
            </xdr:cNvPr>
            <xdr:cNvSpPr/>
          </xdr:nvSpPr>
          <xdr:spPr bwMode="auto">
            <a:xfrm>
              <a:off x="29583" y="85725"/>
              <a:ext cx="8942967" cy="4286250"/>
            </a:xfrm>
            <a:prstGeom prst="rect">
              <a:avLst/>
            </a:prstGeom>
            <a:solidFill>
              <a:srgbClr val="FFFF00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pt-BR" sz="1100"/>
            </a:p>
          </xdr:txBody>
        </xdr:sp>
        <xdr:grpSp>
          <xdr:nvGrpSpPr>
            <xdr:cNvPr id="142" name="Agrupar 141">
              <a:extLst>
                <a:ext uri="{FF2B5EF4-FFF2-40B4-BE49-F238E27FC236}">
                  <a16:creationId xmlns:a16="http://schemas.microsoft.com/office/drawing/2014/main" id="{7439CF12-5CAD-4149-B2B7-0D98274C99C1}"/>
                </a:ext>
              </a:extLst>
            </xdr:cNvPr>
            <xdr:cNvGrpSpPr/>
          </xdr:nvGrpSpPr>
          <xdr:grpSpPr>
            <a:xfrm>
              <a:off x="180975" y="183617"/>
              <a:ext cx="8534399" cy="3912133"/>
              <a:chOff x="180976" y="244661"/>
              <a:chExt cx="5667374" cy="2412815"/>
            </a:xfrm>
          </xdr:grpSpPr>
          <xdr:sp macro="" textlink="">
            <xdr:nvSpPr>
              <xdr:cNvPr id="53" name="CaixaDeTexto 52">
                <a:extLst>
                  <a:ext uri="{FF2B5EF4-FFF2-40B4-BE49-F238E27FC236}">
                    <a16:creationId xmlns:a16="http://schemas.microsoft.com/office/drawing/2014/main" id="{E66EDDF8-C448-47E2-BA5A-3BF577684CD0}"/>
                  </a:ext>
                </a:extLst>
              </xdr:cNvPr>
              <xdr:cNvSpPr txBox="1"/>
            </xdr:nvSpPr>
            <xdr:spPr>
              <a:xfrm>
                <a:off x="895924" y="244661"/>
                <a:ext cx="4390728" cy="70113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2000" b="1"/>
                  <a:t>DOSAGEM</a:t>
                </a:r>
                <a:r>
                  <a:rPr lang="pt-BR" sz="2000" b="1" baseline="0"/>
                  <a:t> PARA DOSAGEM DE CONCRETOS CONVENCIONAIS - </a:t>
                </a:r>
              </a:p>
              <a:p>
                <a:pPr algn="ctr"/>
                <a:r>
                  <a:rPr lang="pt-BR" sz="2000" b="1" baseline="0"/>
                  <a:t>MÉTODO IBRACON (TUTIKIAN &amp; HELENE)</a:t>
                </a:r>
              </a:p>
            </xdr:txBody>
          </xdr:sp>
          <xdr:grpSp>
            <xdr:nvGrpSpPr>
              <xdr:cNvPr id="141" name="Agrupar 140">
                <a:extLst>
                  <a:ext uri="{FF2B5EF4-FFF2-40B4-BE49-F238E27FC236}">
                    <a16:creationId xmlns:a16="http://schemas.microsoft.com/office/drawing/2014/main" id="{D406B344-DA4D-4DC6-B46C-556142004AAD}"/>
                  </a:ext>
                </a:extLst>
              </xdr:cNvPr>
              <xdr:cNvGrpSpPr/>
            </xdr:nvGrpSpPr>
            <xdr:grpSpPr>
              <a:xfrm>
                <a:off x="180976" y="1038225"/>
                <a:ext cx="5667374" cy="1619251"/>
                <a:chOff x="180976" y="1038225"/>
                <a:chExt cx="5667374" cy="1619251"/>
              </a:xfrm>
            </xdr:grpSpPr>
            <xdr:grpSp>
              <xdr:nvGrpSpPr>
                <xdr:cNvPr id="140" name="Agrupar 139">
                  <a:extLst>
                    <a:ext uri="{FF2B5EF4-FFF2-40B4-BE49-F238E27FC236}">
                      <a16:creationId xmlns:a16="http://schemas.microsoft.com/office/drawing/2014/main" id="{906A8133-1B9D-4506-9F86-6D2A2B895F35}"/>
                    </a:ext>
                  </a:extLst>
                </xdr:cNvPr>
                <xdr:cNvGrpSpPr/>
              </xdr:nvGrpSpPr>
              <xdr:grpSpPr>
                <a:xfrm>
                  <a:off x="180976" y="1038226"/>
                  <a:ext cx="1343024" cy="1204381"/>
                  <a:chOff x="180976" y="1038226"/>
                  <a:chExt cx="1343024" cy="1204381"/>
                </a:xfrm>
              </xdr:grpSpPr>
              <xdr:sp macro="" textlink="">
                <xdr:nvSpPr>
                  <xdr:cNvPr id="3" name="CaixaDeTexto 2">
                    <a:extLst>
                      <a:ext uri="{FF2B5EF4-FFF2-40B4-BE49-F238E27FC236}">
                        <a16:creationId xmlns:a16="http://schemas.microsoft.com/office/drawing/2014/main" id="{6C940815-1364-4B92-810C-AF132BF3D90C}"/>
                      </a:ext>
                    </a:extLst>
                  </xdr:cNvPr>
                  <xdr:cNvSpPr txBox="1"/>
                </xdr:nvSpPr>
                <xdr:spPr>
                  <a:xfrm>
                    <a:off x="180976" y="1038226"/>
                    <a:ext cx="1343024" cy="247650"/>
                  </a:xfrm>
                  <a:prstGeom prst="rect">
                    <a:avLst/>
                  </a:prstGeom>
                  <a:solidFill>
                    <a:schemeClr val="accent6">
                      <a:lumMod val="75000"/>
                    </a:schemeClr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400" b="1"/>
                      <a:t>Composição</a:t>
                    </a:r>
                  </a:p>
                </xdr:txBody>
              </xdr:sp>
              <xdr:sp macro="" textlink="">
                <xdr:nvSpPr>
                  <xdr:cNvPr id="4" name="CaixaDeTexto 3">
                    <a:hlinkClick xmlns:r="http://schemas.openxmlformats.org/officeDocument/2006/relationships" r:id="rId2"/>
                    <a:extLst>
                      <a:ext uri="{FF2B5EF4-FFF2-40B4-BE49-F238E27FC236}">
                        <a16:creationId xmlns:a16="http://schemas.microsoft.com/office/drawing/2014/main" id="{941DBC7C-FD11-4496-9ECE-855A244F6F5A}"/>
                      </a:ext>
                    </a:extLst>
                  </xdr:cNvPr>
                  <xdr:cNvSpPr txBox="1"/>
                </xdr:nvSpPr>
                <xdr:spPr>
                  <a:xfrm>
                    <a:off x="276226" y="1661582"/>
                    <a:ext cx="1152524" cy="247650"/>
                  </a:xfrm>
                  <a:prstGeom prst="rect">
                    <a:avLst/>
                  </a:prstGeom>
                  <a:solidFill>
                    <a:srgbClr val="FFC00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Mescla 2 Areias</a:t>
                    </a:r>
                  </a:p>
                </xdr:txBody>
              </xdr:sp>
              <xdr:sp macro="" textlink="">
                <xdr:nvSpPr>
                  <xdr:cNvPr id="5" name="CaixaDeTexto 4">
                    <a:hlinkClick xmlns:r="http://schemas.openxmlformats.org/officeDocument/2006/relationships" r:id="rId3"/>
                    <a:extLst>
                      <a:ext uri="{FF2B5EF4-FFF2-40B4-BE49-F238E27FC236}">
                        <a16:creationId xmlns:a16="http://schemas.microsoft.com/office/drawing/2014/main" id="{F0BBB704-378C-4CFE-9FCB-9AFDEF0EDB66}"/>
                      </a:ext>
                    </a:extLst>
                  </xdr:cNvPr>
                  <xdr:cNvSpPr txBox="1"/>
                </xdr:nvSpPr>
                <xdr:spPr>
                  <a:xfrm>
                    <a:off x="276226" y="1994957"/>
                    <a:ext cx="1152524" cy="247650"/>
                  </a:xfrm>
                  <a:prstGeom prst="rect">
                    <a:avLst/>
                  </a:prstGeom>
                  <a:solidFill>
                    <a:srgbClr val="FFC00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Mescla 3 Areias</a:t>
                    </a:r>
                  </a:p>
                </xdr:txBody>
              </xdr:sp>
              <xdr:sp macro="" textlink="">
                <xdr:nvSpPr>
                  <xdr:cNvPr id="29" name="CaixaDeTexto 28">
                    <a:hlinkClick xmlns:r="http://schemas.openxmlformats.org/officeDocument/2006/relationships" r:id="rId4"/>
                    <a:extLst>
                      <a:ext uri="{FF2B5EF4-FFF2-40B4-BE49-F238E27FC236}">
                        <a16:creationId xmlns:a16="http://schemas.microsoft.com/office/drawing/2014/main" id="{B5561BFD-553E-44F0-B345-14BB60989B77}"/>
                      </a:ext>
                    </a:extLst>
                  </xdr:cNvPr>
                  <xdr:cNvSpPr txBox="1"/>
                </xdr:nvSpPr>
                <xdr:spPr>
                  <a:xfrm>
                    <a:off x="276227" y="1346405"/>
                    <a:ext cx="1152524" cy="247650"/>
                  </a:xfrm>
                  <a:prstGeom prst="rect">
                    <a:avLst/>
                  </a:prstGeom>
                  <a:solidFill>
                    <a:srgbClr val="FFC00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1 Areia</a:t>
                    </a:r>
                  </a:p>
                </xdr:txBody>
              </xdr:sp>
            </xdr:grpSp>
            <xdr:grpSp>
              <xdr:nvGrpSpPr>
                <xdr:cNvPr id="131" name="Agrupar 130">
                  <a:extLst>
                    <a:ext uri="{FF2B5EF4-FFF2-40B4-BE49-F238E27FC236}">
                      <a16:creationId xmlns:a16="http://schemas.microsoft.com/office/drawing/2014/main" id="{21ABAC82-6BD4-4B56-8245-E66F82ADCBA2}"/>
                    </a:ext>
                  </a:extLst>
                </xdr:cNvPr>
                <xdr:cNvGrpSpPr/>
              </xdr:nvGrpSpPr>
              <xdr:grpSpPr>
                <a:xfrm>
                  <a:off x="3057526" y="1038225"/>
                  <a:ext cx="1343024" cy="1619251"/>
                  <a:chOff x="1628776" y="1038225"/>
                  <a:chExt cx="1343024" cy="1619251"/>
                </a:xfrm>
              </xdr:grpSpPr>
              <xdr:sp macro="" textlink="">
                <xdr:nvSpPr>
                  <xdr:cNvPr id="54" name="CaixaDeTexto 53">
                    <a:extLst>
                      <a:ext uri="{FF2B5EF4-FFF2-40B4-BE49-F238E27FC236}">
                        <a16:creationId xmlns:a16="http://schemas.microsoft.com/office/drawing/2014/main" id="{B48498D8-21BD-4ACC-98EE-BB384E4364DE}"/>
                      </a:ext>
                    </a:extLst>
                  </xdr:cNvPr>
                  <xdr:cNvSpPr txBox="1"/>
                </xdr:nvSpPr>
                <xdr:spPr>
                  <a:xfrm>
                    <a:off x="1628776" y="1038225"/>
                    <a:ext cx="1343024" cy="314626"/>
                  </a:xfrm>
                  <a:prstGeom prst="rect">
                    <a:avLst/>
                  </a:prstGeom>
                  <a:solidFill>
                    <a:srgbClr val="0070C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Dosagem</a:t>
                    </a:r>
                    <a:r>
                      <a:rPr lang="pt-BR" sz="1100" b="1" baseline="0"/>
                      <a:t> com 3 pontos</a:t>
                    </a:r>
                    <a:endParaRPr lang="pt-BR" sz="1100" b="1"/>
                  </a:p>
                </xdr:txBody>
              </xdr:sp>
              <xdr:sp macro="" textlink="">
                <xdr:nvSpPr>
                  <xdr:cNvPr id="55" name="CaixaDeTexto 54">
                    <a:hlinkClick xmlns:r="http://schemas.openxmlformats.org/officeDocument/2006/relationships" r:id="rId5"/>
                    <a:extLst>
                      <a:ext uri="{FF2B5EF4-FFF2-40B4-BE49-F238E27FC236}">
                        <a16:creationId xmlns:a16="http://schemas.microsoft.com/office/drawing/2014/main" id="{C9725C06-7209-40ED-A72F-8F23C7F6C72D}"/>
                      </a:ext>
                    </a:extLst>
                  </xdr:cNvPr>
                  <xdr:cNvSpPr txBox="1"/>
                </xdr:nvSpPr>
                <xdr:spPr>
                  <a:xfrm>
                    <a:off x="1724026" y="1381126"/>
                    <a:ext cx="1152524" cy="247650"/>
                  </a:xfrm>
                  <a:prstGeom prst="rect">
                    <a:avLst/>
                  </a:prstGeom>
                  <a:solidFill>
                    <a:schemeClr val="accent5">
                      <a:lumMod val="75000"/>
                    </a:schemeClr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 baseline="0"/>
                      <a:t>Traço Inicial</a:t>
                    </a:r>
                    <a:endParaRPr lang="pt-BR" sz="1100" b="1"/>
                  </a:p>
                </xdr:txBody>
              </xdr:sp>
              <xdr:sp macro="" textlink="">
                <xdr:nvSpPr>
                  <xdr:cNvPr id="56" name="CaixaDeTexto 55">
                    <a:hlinkClick xmlns:r="http://schemas.openxmlformats.org/officeDocument/2006/relationships" r:id="rId6"/>
                    <a:extLst>
                      <a:ext uri="{FF2B5EF4-FFF2-40B4-BE49-F238E27FC236}">
                        <a16:creationId xmlns:a16="http://schemas.microsoft.com/office/drawing/2014/main" id="{CF681B73-3492-4256-BED6-A3668AB91815}"/>
                      </a:ext>
                    </a:extLst>
                  </xdr:cNvPr>
                  <xdr:cNvSpPr txBox="1"/>
                </xdr:nvSpPr>
                <xdr:spPr>
                  <a:xfrm>
                    <a:off x="1724026" y="1714501"/>
                    <a:ext cx="1152524" cy="247650"/>
                  </a:xfrm>
                  <a:prstGeom prst="rect">
                    <a:avLst/>
                  </a:prstGeom>
                  <a:solidFill>
                    <a:schemeClr val="accent5">
                      <a:lumMod val="60000"/>
                      <a:lumOff val="40000"/>
                    </a:schemeClr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3</a:t>
                    </a:r>
                    <a:r>
                      <a:rPr lang="pt-BR" sz="1100" b="1" baseline="0"/>
                      <a:t> Traços</a:t>
                    </a:r>
                    <a:endParaRPr lang="pt-BR" sz="1100" b="1"/>
                  </a:p>
                </xdr:txBody>
              </xdr:sp>
              <xdr:sp macro="" textlink="">
                <xdr:nvSpPr>
                  <xdr:cNvPr id="57" name="CaixaDeTexto 56">
                    <a:hlinkClick xmlns:r="http://schemas.openxmlformats.org/officeDocument/2006/relationships" r:id="rId7"/>
                    <a:extLst>
                      <a:ext uri="{FF2B5EF4-FFF2-40B4-BE49-F238E27FC236}">
                        <a16:creationId xmlns:a16="http://schemas.microsoft.com/office/drawing/2014/main" id="{7BCBCE7B-0950-411A-9E7F-AD50DBF61322}"/>
                      </a:ext>
                    </a:extLst>
                  </xdr:cNvPr>
                  <xdr:cNvSpPr txBox="1"/>
                </xdr:nvSpPr>
                <xdr:spPr>
                  <a:xfrm>
                    <a:off x="1724026" y="2066926"/>
                    <a:ext cx="1152524" cy="247650"/>
                  </a:xfrm>
                  <a:prstGeom prst="rect">
                    <a:avLst/>
                  </a:prstGeom>
                  <a:solidFill>
                    <a:schemeClr val="accent5">
                      <a:lumMod val="60000"/>
                      <a:lumOff val="40000"/>
                    </a:schemeClr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Curvas dosagem </a:t>
                    </a:r>
                  </a:p>
                </xdr:txBody>
              </xdr:sp>
              <xdr:sp macro="" textlink="">
                <xdr:nvSpPr>
                  <xdr:cNvPr id="58" name="CaixaDeTexto 57">
                    <a:hlinkClick xmlns:r="http://schemas.openxmlformats.org/officeDocument/2006/relationships" r:id="rId8"/>
                    <a:extLst>
                      <a:ext uri="{FF2B5EF4-FFF2-40B4-BE49-F238E27FC236}">
                        <a16:creationId xmlns:a16="http://schemas.microsoft.com/office/drawing/2014/main" id="{8FD112C1-7822-483E-900F-EF0AD1AF5D89}"/>
                      </a:ext>
                    </a:extLst>
                  </xdr:cNvPr>
                  <xdr:cNvSpPr txBox="1"/>
                </xdr:nvSpPr>
                <xdr:spPr>
                  <a:xfrm>
                    <a:off x="1724026" y="2409826"/>
                    <a:ext cx="1152524" cy="247650"/>
                  </a:xfrm>
                  <a:prstGeom prst="rect">
                    <a:avLst/>
                  </a:prstGeom>
                  <a:solidFill>
                    <a:schemeClr val="accent5">
                      <a:lumMod val="60000"/>
                      <a:lumOff val="40000"/>
                    </a:schemeClr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marR="0" lvl="0" indent="0" algn="ctr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pt-BR" sz="1100" b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Cálculo</a:t>
                    </a:r>
                    <a:r>
                      <a:rPr lang="pt-BR" sz="1100" b="1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do Traço</a:t>
                    </a:r>
                    <a:endParaRPr lang="pt-BR">
                      <a:effectLst/>
                    </a:endParaRPr>
                  </a:p>
                </xdr:txBody>
              </xdr:sp>
            </xdr:grpSp>
            <xdr:grpSp>
              <xdr:nvGrpSpPr>
                <xdr:cNvPr id="101" name="Agrupar 100">
                  <a:extLst>
                    <a:ext uri="{FF2B5EF4-FFF2-40B4-BE49-F238E27FC236}">
                      <a16:creationId xmlns:a16="http://schemas.microsoft.com/office/drawing/2014/main" id="{BDC2B04D-D814-4F9F-978B-07DA77857577}"/>
                    </a:ext>
                  </a:extLst>
                </xdr:cNvPr>
                <xdr:cNvGrpSpPr/>
              </xdr:nvGrpSpPr>
              <xdr:grpSpPr>
                <a:xfrm>
                  <a:off x="1609726" y="1038225"/>
                  <a:ext cx="1343024" cy="590551"/>
                  <a:chOff x="180976" y="2752725"/>
                  <a:chExt cx="1343024" cy="590551"/>
                </a:xfrm>
              </xdr:grpSpPr>
              <xdr:sp macro="" textlink="">
                <xdr:nvSpPr>
                  <xdr:cNvPr id="102" name="CaixaDeTexto 101">
                    <a:hlinkClick xmlns:r="http://schemas.openxmlformats.org/officeDocument/2006/relationships" r:id="rId9"/>
                    <a:extLst>
                      <a:ext uri="{FF2B5EF4-FFF2-40B4-BE49-F238E27FC236}">
                        <a16:creationId xmlns:a16="http://schemas.microsoft.com/office/drawing/2014/main" id="{A6900426-DC0C-439D-BF52-0F2B7C13B8BF}"/>
                      </a:ext>
                    </a:extLst>
                  </xdr:cNvPr>
                  <xdr:cNvSpPr txBox="1"/>
                </xdr:nvSpPr>
                <xdr:spPr>
                  <a:xfrm>
                    <a:off x="276226" y="3095626"/>
                    <a:ext cx="1152524" cy="247650"/>
                  </a:xfrm>
                  <a:prstGeom prst="rect">
                    <a:avLst/>
                  </a:prstGeom>
                  <a:solidFill>
                    <a:srgbClr val="92D05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Empacotamento</a:t>
                    </a:r>
                  </a:p>
                </xdr:txBody>
              </xdr:sp>
              <xdr:sp macro="" textlink="">
                <xdr:nvSpPr>
                  <xdr:cNvPr id="103" name="CaixaDeTexto 102">
                    <a:extLst>
                      <a:ext uri="{FF2B5EF4-FFF2-40B4-BE49-F238E27FC236}">
                        <a16:creationId xmlns:a16="http://schemas.microsoft.com/office/drawing/2014/main" id="{D8FB597D-A2B7-495B-BE18-F495AECB8A4F}"/>
                      </a:ext>
                    </a:extLst>
                  </xdr:cNvPr>
                  <xdr:cNvSpPr txBox="1"/>
                </xdr:nvSpPr>
                <xdr:spPr>
                  <a:xfrm>
                    <a:off x="180976" y="2752725"/>
                    <a:ext cx="1343024" cy="302939"/>
                  </a:xfrm>
                  <a:prstGeom prst="rect">
                    <a:avLst/>
                  </a:prstGeom>
                  <a:solidFill>
                    <a:srgbClr val="00B05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Empacotamento dos agregados</a:t>
                    </a:r>
                    <a:endParaRPr lang="pt-BR" sz="1200" b="1"/>
                  </a:p>
                </xdr:txBody>
              </xdr:sp>
            </xdr:grpSp>
            <xdr:grpSp>
              <xdr:nvGrpSpPr>
                <xdr:cNvPr id="139" name="Agrupar 138">
                  <a:extLst>
                    <a:ext uri="{FF2B5EF4-FFF2-40B4-BE49-F238E27FC236}">
                      <a16:creationId xmlns:a16="http://schemas.microsoft.com/office/drawing/2014/main" id="{76988F51-413B-463B-B90A-D4D7C3E69258}"/>
                    </a:ext>
                  </a:extLst>
                </xdr:cNvPr>
                <xdr:cNvGrpSpPr/>
              </xdr:nvGrpSpPr>
              <xdr:grpSpPr>
                <a:xfrm>
                  <a:off x="4505326" y="1038226"/>
                  <a:ext cx="1343024" cy="1619250"/>
                  <a:chOff x="3076576" y="1038226"/>
                  <a:chExt cx="1343024" cy="1619250"/>
                </a:xfrm>
              </xdr:grpSpPr>
              <xdr:grpSp>
                <xdr:nvGrpSpPr>
                  <xdr:cNvPr id="138" name="Agrupar 137">
                    <a:extLst>
                      <a:ext uri="{FF2B5EF4-FFF2-40B4-BE49-F238E27FC236}">
                        <a16:creationId xmlns:a16="http://schemas.microsoft.com/office/drawing/2014/main" id="{16543C36-EA77-4D10-97EB-B195E425F9F0}"/>
                      </a:ext>
                    </a:extLst>
                  </xdr:cNvPr>
                  <xdr:cNvGrpSpPr/>
                </xdr:nvGrpSpPr>
                <xdr:grpSpPr>
                  <a:xfrm>
                    <a:off x="3181351" y="1714501"/>
                    <a:ext cx="1152524" cy="942975"/>
                    <a:chOff x="1724026" y="2752726"/>
                    <a:chExt cx="1152524" cy="942975"/>
                  </a:xfrm>
                </xdr:grpSpPr>
                <xdr:sp macro="" textlink="">
                  <xdr:nvSpPr>
                    <xdr:cNvPr id="109" name="CaixaDeTexto 108">
                      <a:hlinkClick xmlns:r="http://schemas.openxmlformats.org/officeDocument/2006/relationships" r:id="rId10"/>
                      <a:extLst>
                        <a:ext uri="{FF2B5EF4-FFF2-40B4-BE49-F238E27FC236}">
                          <a16:creationId xmlns:a16="http://schemas.microsoft.com/office/drawing/2014/main" id="{E8CDBFDC-0F96-4574-B72A-E385905E4788}"/>
                        </a:ext>
                      </a:extLst>
                    </xdr:cNvPr>
                    <xdr:cNvSpPr txBox="1"/>
                  </xdr:nvSpPr>
                  <xdr:spPr>
                    <a:xfrm>
                      <a:off x="1724026" y="2752726"/>
                      <a:ext cx="1152524" cy="247650"/>
                    </a:xfrm>
                    <a:prstGeom prst="rect">
                      <a:avLst/>
                    </a:prstGeom>
                    <a:solidFill>
                      <a:schemeClr val="accent5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lang="pt-BR" sz="1100" b="1"/>
                        <a:t>4</a:t>
                      </a:r>
                      <a:r>
                        <a:rPr lang="pt-BR" sz="1100" b="1" baseline="0"/>
                        <a:t> Traços</a:t>
                      </a:r>
                      <a:endParaRPr lang="pt-BR" sz="1100" b="1"/>
                    </a:p>
                  </xdr:txBody>
                </xdr:sp>
                <xdr:sp macro="" textlink="">
                  <xdr:nvSpPr>
                    <xdr:cNvPr id="110" name="CaixaDeTexto 109">
                      <a:hlinkClick xmlns:r="http://schemas.openxmlformats.org/officeDocument/2006/relationships" r:id="rId11"/>
                      <a:extLst>
                        <a:ext uri="{FF2B5EF4-FFF2-40B4-BE49-F238E27FC236}">
                          <a16:creationId xmlns:a16="http://schemas.microsoft.com/office/drawing/2014/main" id="{329A9022-3AA9-471E-B04D-88198E759366}"/>
                        </a:ext>
                      </a:extLst>
                    </xdr:cNvPr>
                    <xdr:cNvSpPr txBox="1"/>
                  </xdr:nvSpPr>
                  <xdr:spPr>
                    <a:xfrm>
                      <a:off x="1724026" y="3105151"/>
                      <a:ext cx="1152524" cy="247650"/>
                    </a:xfrm>
                    <a:prstGeom prst="rect">
                      <a:avLst/>
                    </a:prstGeom>
                    <a:solidFill>
                      <a:schemeClr val="accent5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lang="pt-BR" sz="1100" b="1"/>
                        <a:t>Curvas dosagem </a:t>
                      </a:r>
                    </a:p>
                  </xdr:txBody>
                </xdr:sp>
                <xdr:sp macro="" textlink="">
                  <xdr:nvSpPr>
                    <xdr:cNvPr id="111" name="CaixaDeTexto 110">
                      <a:hlinkClick xmlns:r="http://schemas.openxmlformats.org/officeDocument/2006/relationships" r:id="rId12"/>
                      <a:extLst>
                        <a:ext uri="{FF2B5EF4-FFF2-40B4-BE49-F238E27FC236}">
                          <a16:creationId xmlns:a16="http://schemas.microsoft.com/office/drawing/2014/main" id="{2A57F09E-F7FA-46F4-9744-D73AA050DB64}"/>
                        </a:ext>
                      </a:extLst>
                    </xdr:cNvPr>
                    <xdr:cNvSpPr txBox="1"/>
                  </xdr:nvSpPr>
                  <xdr:spPr>
                    <a:xfrm>
                      <a:off x="1724026" y="3448051"/>
                      <a:ext cx="1152524" cy="247650"/>
                    </a:xfrm>
                    <a:prstGeom prst="rect">
                      <a:avLst/>
                    </a:prstGeom>
                    <a:solidFill>
                      <a:schemeClr val="accent5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marL="0" marR="0" lvl="0" indent="0" algn="ctr" defTabSz="91440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lang="pt-BR" sz="1100" b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Cálculo</a:t>
                      </a:r>
                      <a:r>
                        <a:rPr lang="pt-BR" sz="1100" b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 do Traço</a:t>
                      </a:r>
                      <a:endParaRPr lang="pt-BR">
                        <a:effectLst/>
                      </a:endParaRPr>
                    </a:p>
                  </xdr:txBody>
                </xdr:sp>
              </xdr:grpSp>
              <xdr:sp macro="" textlink="">
                <xdr:nvSpPr>
                  <xdr:cNvPr id="133" name="CaixaDeTexto 132">
                    <a:extLst>
                      <a:ext uri="{FF2B5EF4-FFF2-40B4-BE49-F238E27FC236}">
                        <a16:creationId xmlns:a16="http://schemas.microsoft.com/office/drawing/2014/main" id="{7399F068-B620-46D6-AECF-D367B7CD8EFD}"/>
                      </a:ext>
                    </a:extLst>
                  </xdr:cNvPr>
                  <xdr:cNvSpPr txBox="1"/>
                </xdr:nvSpPr>
                <xdr:spPr>
                  <a:xfrm>
                    <a:off x="3076576" y="1038226"/>
                    <a:ext cx="1343024" cy="308782"/>
                  </a:xfrm>
                  <a:prstGeom prst="rect">
                    <a:avLst/>
                  </a:prstGeom>
                  <a:solidFill>
                    <a:srgbClr val="0070C0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Dosagem com 4 pontos</a:t>
                    </a:r>
                  </a:p>
                </xdr:txBody>
              </xdr:sp>
              <xdr:sp macro="" textlink="">
                <xdr:nvSpPr>
                  <xdr:cNvPr id="134" name="CaixaDeTexto 133">
                    <a:hlinkClick xmlns:r="http://schemas.openxmlformats.org/officeDocument/2006/relationships" r:id="rId5"/>
                    <a:extLst>
                      <a:ext uri="{FF2B5EF4-FFF2-40B4-BE49-F238E27FC236}">
                        <a16:creationId xmlns:a16="http://schemas.microsoft.com/office/drawing/2014/main" id="{4CA0E6FE-39B8-4DF1-9F80-245B2B66391C}"/>
                      </a:ext>
                    </a:extLst>
                  </xdr:cNvPr>
                  <xdr:cNvSpPr txBox="1"/>
                </xdr:nvSpPr>
                <xdr:spPr>
                  <a:xfrm>
                    <a:off x="3171826" y="1381126"/>
                    <a:ext cx="1152524" cy="247650"/>
                  </a:xfrm>
                  <a:prstGeom prst="rect">
                    <a:avLst/>
                  </a:prstGeom>
                  <a:solidFill>
                    <a:schemeClr val="accent5">
                      <a:lumMod val="75000"/>
                    </a:schemeClr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 baseline="0"/>
                      <a:t>Traço Inicial</a:t>
                    </a:r>
                    <a:endParaRPr lang="pt-BR" sz="1100" b="1"/>
                  </a:p>
                </xdr:txBody>
              </xdr:sp>
            </xdr:grpSp>
          </xdr:grpSp>
        </xdr:grpSp>
      </xdr:grpSp>
      <xdr:sp macro="" textlink="">
        <xdr:nvSpPr>
          <xdr:cNvPr id="2" name="CaixaDeTexto 1">
            <a:extLst>
              <a:ext uri="{FF2B5EF4-FFF2-40B4-BE49-F238E27FC236}">
                <a16:creationId xmlns:a16="http://schemas.microsoft.com/office/drawing/2014/main" id="{077BE313-64A8-4B7F-B934-55E0D0297E12}"/>
              </a:ext>
            </a:extLst>
          </xdr:cNvPr>
          <xdr:cNvSpPr txBox="1"/>
        </xdr:nvSpPr>
        <xdr:spPr>
          <a:xfrm>
            <a:off x="9034084" y="3285114"/>
            <a:ext cx="2205337" cy="780383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defTabSz="540000"/>
            <a:r>
              <a:rPr lang="pt-BR" sz="1100" b="1"/>
              <a:t>Autores da planilha</a:t>
            </a:r>
          </a:p>
          <a:p>
            <a:pPr defTabSz="540000"/>
            <a:r>
              <a:rPr lang="pt-BR" sz="1100" b="1"/>
              <a:t>Prof. Dr.	Bernardo Tutikian</a:t>
            </a:r>
          </a:p>
          <a:p>
            <a:pPr defTabSz="540000"/>
            <a:r>
              <a:rPr lang="pt-BR" sz="1100" b="1"/>
              <a:t>Apoio de Ademar Gusukuma e Eduardo R B da Silva</a:t>
            </a:r>
          </a:p>
        </xdr:txBody>
      </xdr:sp>
    </xdr:grpSp>
    <xdr:clientData/>
  </xdr:twoCellAnchor>
  <xdr:twoCellAnchor>
    <xdr:from>
      <xdr:col>6</xdr:col>
      <xdr:colOff>247650</xdr:colOff>
      <xdr:row>10</xdr:row>
      <xdr:rowOff>57150</xdr:rowOff>
    </xdr:from>
    <xdr:to>
      <xdr:col>10</xdr:col>
      <xdr:colOff>257175</xdr:colOff>
      <xdr:row>11</xdr:row>
      <xdr:rowOff>47625</xdr:rowOff>
    </xdr:to>
    <xdr:sp macro="" textlink="">
      <xdr:nvSpPr>
        <xdr:cNvPr id="7" name="Retângulo 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364D1D3-E39B-4A78-AE6A-B04DC7B62D02}"/>
            </a:ext>
          </a:extLst>
        </xdr:cNvPr>
        <xdr:cNvSpPr/>
      </xdr:nvSpPr>
      <xdr:spPr bwMode="auto">
        <a:xfrm>
          <a:off x="2533650" y="3486150"/>
          <a:ext cx="1533525" cy="333375"/>
        </a:xfrm>
        <a:prstGeom prst="rect">
          <a:avLst/>
        </a:prstGeom>
        <a:solidFill>
          <a:srgbClr val="FFC000"/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 baseline="0"/>
            <a:t>    Granulometria 1 Brita</a:t>
          </a:r>
          <a:endParaRPr lang="pt-BR" sz="1100" b="1"/>
        </a:p>
      </xdr:txBody>
    </xdr:sp>
    <xdr:clientData/>
  </xdr:twoCellAnchor>
  <xdr:twoCellAnchor>
    <xdr:from>
      <xdr:col>6</xdr:col>
      <xdr:colOff>247650</xdr:colOff>
      <xdr:row>11</xdr:row>
      <xdr:rowOff>152400</xdr:rowOff>
    </xdr:from>
    <xdr:to>
      <xdr:col>10</xdr:col>
      <xdr:colOff>257175</xdr:colOff>
      <xdr:row>12</xdr:row>
      <xdr:rowOff>142875</xdr:rowOff>
    </xdr:to>
    <xdr:sp macro="" textlink="">
      <xdr:nvSpPr>
        <xdr:cNvPr id="31" name="Retângulo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08CF1B6-0D0D-48F5-8FA3-6F91A24F2ED6}"/>
            </a:ext>
          </a:extLst>
        </xdr:cNvPr>
        <xdr:cNvSpPr/>
      </xdr:nvSpPr>
      <xdr:spPr bwMode="auto">
        <a:xfrm>
          <a:off x="2533650" y="3924300"/>
          <a:ext cx="1533525" cy="333375"/>
        </a:xfrm>
        <a:prstGeom prst="rect">
          <a:avLst/>
        </a:prstGeom>
        <a:solidFill>
          <a:srgbClr val="FFC000"/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 baseline="0"/>
            <a:t>    Granulometria 2 Britas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9</xdr:col>
      <xdr:colOff>840582</xdr:colOff>
      <xdr:row>42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580AB-B7FF-4FD3-82B8-D39FA6C52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81644</xdr:colOff>
      <xdr:row>0</xdr:row>
      <xdr:rowOff>100692</xdr:rowOff>
    </xdr:from>
    <xdr:to>
      <xdr:col>0</xdr:col>
      <xdr:colOff>750093</xdr:colOff>
      <xdr:row>0</xdr:row>
      <xdr:rowOff>369093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BA798E-28DC-4888-9261-B544E1C4EF2F}"/>
            </a:ext>
          </a:extLst>
        </xdr:cNvPr>
        <xdr:cNvSpPr txBox="1"/>
      </xdr:nvSpPr>
      <xdr:spPr>
        <a:xfrm>
          <a:off x="153082" y="100692"/>
          <a:ext cx="668449" cy="26840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1</xdr:col>
      <xdr:colOff>54429</xdr:colOff>
      <xdr:row>0</xdr:row>
      <xdr:rowOff>114301</xdr:rowOff>
    </xdr:from>
    <xdr:to>
      <xdr:col>3</xdr:col>
      <xdr:colOff>517071</xdr:colOff>
      <xdr:row>0</xdr:row>
      <xdr:rowOff>367393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0A3F3A-77AE-4179-8941-6E882B3B339B}"/>
            </a:ext>
          </a:extLst>
        </xdr:cNvPr>
        <xdr:cNvSpPr txBox="1"/>
      </xdr:nvSpPr>
      <xdr:spPr>
        <a:xfrm>
          <a:off x="978354" y="114301"/>
          <a:ext cx="1624692" cy="25309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EMPACOTAMENTO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183696</xdr:colOff>
      <xdr:row>19</xdr:row>
      <xdr:rowOff>0</xdr:rowOff>
    </xdr:from>
    <xdr:to>
      <xdr:col>17</xdr:col>
      <xdr:colOff>431346</xdr:colOff>
      <xdr:row>42</xdr:row>
      <xdr:rowOff>106136</xdr:rowOff>
    </xdr:to>
    <xdr:graphicFrame macro="">
      <xdr:nvGraphicFramePr>
        <xdr:cNvPr id="1474402" name="Chart 1">
          <a:extLst>
            <a:ext uri="{FF2B5EF4-FFF2-40B4-BE49-F238E27FC236}">
              <a16:creationId xmlns:a16="http://schemas.microsoft.com/office/drawing/2014/main" id="{5CBE8017-C2A6-41AA-BE8B-732AAEBD5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81644</xdr:colOff>
      <xdr:row>0</xdr:row>
      <xdr:rowOff>100693</xdr:rowOff>
    </xdr:from>
    <xdr:to>
      <xdr:col>0</xdr:col>
      <xdr:colOff>775608</xdr:colOff>
      <xdr:row>0</xdr:row>
      <xdr:rowOff>367393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6C2637-1930-40A3-89CD-05806EBAAFC2}"/>
            </a:ext>
          </a:extLst>
        </xdr:cNvPr>
        <xdr:cNvSpPr txBox="1"/>
      </xdr:nvSpPr>
      <xdr:spPr>
        <a:xfrm>
          <a:off x="163287" y="100693"/>
          <a:ext cx="693964" cy="2667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1</xdr:col>
      <xdr:colOff>54429</xdr:colOff>
      <xdr:row>0</xdr:row>
      <xdr:rowOff>114301</xdr:rowOff>
    </xdr:from>
    <xdr:to>
      <xdr:col>3</xdr:col>
      <xdr:colOff>517071</xdr:colOff>
      <xdr:row>0</xdr:row>
      <xdr:rowOff>367393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344E9A-E002-4786-A4C7-67C77DF7C158}"/>
            </a:ext>
          </a:extLst>
        </xdr:cNvPr>
        <xdr:cNvSpPr txBox="1"/>
      </xdr:nvSpPr>
      <xdr:spPr>
        <a:xfrm>
          <a:off x="979715" y="114301"/>
          <a:ext cx="1632856" cy="25309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EMPACOTAMENTO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19</xdr:row>
      <xdr:rowOff>12701</xdr:rowOff>
    </xdr:from>
    <xdr:to>
      <xdr:col>23</xdr:col>
      <xdr:colOff>368300</xdr:colOff>
      <xdr:row>42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45CAB-FE13-48FD-9C49-D359C7281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81644</xdr:colOff>
      <xdr:row>0</xdr:row>
      <xdr:rowOff>100693</xdr:rowOff>
    </xdr:from>
    <xdr:to>
      <xdr:col>0</xdr:col>
      <xdr:colOff>775608</xdr:colOff>
      <xdr:row>0</xdr:row>
      <xdr:rowOff>367393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A43E60-D9CA-487D-9B81-30D898BF8236}"/>
            </a:ext>
          </a:extLst>
        </xdr:cNvPr>
        <xdr:cNvSpPr txBox="1"/>
      </xdr:nvSpPr>
      <xdr:spPr>
        <a:xfrm>
          <a:off x="157844" y="100693"/>
          <a:ext cx="693964" cy="2667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1</xdr:col>
      <xdr:colOff>54429</xdr:colOff>
      <xdr:row>0</xdr:row>
      <xdr:rowOff>114301</xdr:rowOff>
    </xdr:from>
    <xdr:to>
      <xdr:col>3</xdr:col>
      <xdr:colOff>517071</xdr:colOff>
      <xdr:row>0</xdr:row>
      <xdr:rowOff>367393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842220-7521-41B2-9E32-4F805527661A}"/>
            </a:ext>
          </a:extLst>
        </xdr:cNvPr>
        <xdr:cNvSpPr txBox="1"/>
      </xdr:nvSpPr>
      <xdr:spPr>
        <a:xfrm>
          <a:off x="978354" y="114301"/>
          <a:ext cx="1624692" cy="25309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EMPACOTAMENTO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0</xdr:rowOff>
    </xdr:from>
    <xdr:to>
      <xdr:col>15</xdr:col>
      <xdr:colOff>746124</xdr:colOff>
      <xdr:row>57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061BE-76BB-4BDB-9738-E88A2927A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668449</xdr:colOff>
      <xdr:row>1</xdr:row>
      <xdr:rowOff>65995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A62A01-263F-44AE-AC79-DD18EE7D17D8}"/>
            </a:ext>
          </a:extLst>
        </xdr:cNvPr>
        <xdr:cNvSpPr txBox="1"/>
      </xdr:nvSpPr>
      <xdr:spPr>
        <a:xfrm>
          <a:off x="642938" y="0"/>
          <a:ext cx="668449" cy="26840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30</xdr:row>
      <xdr:rowOff>190500</xdr:rowOff>
    </xdr:from>
    <xdr:to>
      <xdr:col>23</xdr:col>
      <xdr:colOff>746124</xdr:colOff>
      <xdr:row>60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D4A7C-9AC3-4DF8-915F-84B0EF1E6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13605</xdr:colOff>
      <xdr:row>1</xdr:row>
      <xdr:rowOff>65995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6B30A-C682-4F0B-8F9B-7F4EBB5CC034}"/>
            </a:ext>
          </a:extLst>
        </xdr:cNvPr>
        <xdr:cNvSpPr txBox="1"/>
      </xdr:nvSpPr>
      <xdr:spPr>
        <a:xfrm>
          <a:off x="654844" y="0"/>
          <a:ext cx="668449" cy="26840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3175</xdr:rowOff>
    </xdr:from>
    <xdr:to>
      <xdr:col>23</xdr:col>
      <xdr:colOff>419100</xdr:colOff>
      <xdr:row>23</xdr:row>
      <xdr:rowOff>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BD70E64B-4CBC-404F-AE6D-143E34E49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23</xdr:row>
      <xdr:rowOff>133350</xdr:rowOff>
    </xdr:from>
    <xdr:to>
      <xdr:col>24</xdr:col>
      <xdr:colOff>0</xdr:colOff>
      <xdr:row>38</xdr:row>
      <xdr:rowOff>31750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FA821080-ACBD-469B-A706-9509BE7E2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38</xdr:row>
      <xdr:rowOff>161925</xdr:rowOff>
    </xdr:from>
    <xdr:to>
      <xdr:col>23</xdr:col>
      <xdr:colOff>419100</xdr:colOff>
      <xdr:row>53</xdr:row>
      <xdr:rowOff>41275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CE7EBA-3B84-4144-BD70-A2FB350DC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88900</xdr:colOff>
      <xdr:row>0</xdr:row>
      <xdr:rowOff>101600</xdr:rowOff>
    </xdr:from>
    <xdr:to>
      <xdr:col>1</xdr:col>
      <xdr:colOff>292100</xdr:colOff>
      <xdr:row>0</xdr:row>
      <xdr:rowOff>419100</xdr:rowOff>
    </xdr:to>
    <xdr:sp macro="" textlink="">
      <xdr:nvSpPr>
        <xdr:cNvPr id="7" name="CaixaDeText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1ABE3D-734A-44C3-922F-829114DA01D9}"/>
            </a:ext>
          </a:extLst>
        </xdr:cNvPr>
        <xdr:cNvSpPr txBox="1"/>
      </xdr:nvSpPr>
      <xdr:spPr>
        <a:xfrm>
          <a:off x="431800" y="101600"/>
          <a:ext cx="1016000" cy="317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1 Areia</a:t>
          </a:r>
        </a:p>
      </xdr:txBody>
    </xdr:sp>
    <xdr:clientData/>
  </xdr:twoCellAnchor>
  <xdr:twoCellAnchor>
    <xdr:from>
      <xdr:col>3</xdr:col>
      <xdr:colOff>635000</xdr:colOff>
      <xdr:row>0</xdr:row>
      <xdr:rowOff>114300</xdr:rowOff>
    </xdr:from>
    <xdr:to>
      <xdr:col>3</xdr:col>
      <xdr:colOff>1295400</xdr:colOff>
      <xdr:row>0</xdr:row>
      <xdr:rowOff>431800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1EC54C-22E5-483D-9127-BA2D3B819E3F}"/>
            </a:ext>
          </a:extLst>
        </xdr:cNvPr>
        <xdr:cNvSpPr txBox="1"/>
      </xdr:nvSpPr>
      <xdr:spPr>
        <a:xfrm>
          <a:off x="3810000" y="114300"/>
          <a:ext cx="660400" cy="3175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3</xdr:col>
      <xdr:colOff>1422400</xdr:colOff>
      <xdr:row>0</xdr:row>
      <xdr:rowOff>114300</xdr:rowOff>
    </xdr:from>
    <xdr:to>
      <xdr:col>4</xdr:col>
      <xdr:colOff>393700</xdr:colOff>
      <xdr:row>0</xdr:row>
      <xdr:rowOff>431800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84A878F-4EF4-4D66-B89B-0D6B252F4144}"/>
            </a:ext>
          </a:extLst>
        </xdr:cNvPr>
        <xdr:cNvSpPr txBox="1"/>
      </xdr:nvSpPr>
      <xdr:spPr>
        <a:xfrm>
          <a:off x="4597400" y="114300"/>
          <a:ext cx="800100" cy="3175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TRAÇOS</a:t>
          </a:r>
        </a:p>
      </xdr:txBody>
    </xdr:sp>
    <xdr:clientData/>
  </xdr:twoCellAnchor>
  <xdr:twoCellAnchor>
    <xdr:from>
      <xdr:col>1</xdr:col>
      <xdr:colOff>381000</xdr:colOff>
      <xdr:row>0</xdr:row>
      <xdr:rowOff>114300</xdr:rowOff>
    </xdr:from>
    <xdr:to>
      <xdr:col>2</xdr:col>
      <xdr:colOff>584200</xdr:colOff>
      <xdr:row>0</xdr:row>
      <xdr:rowOff>431800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4773F9-87B3-4B72-B1A4-C83CD4DD4116}"/>
            </a:ext>
          </a:extLst>
        </xdr:cNvPr>
        <xdr:cNvSpPr txBox="1"/>
      </xdr:nvSpPr>
      <xdr:spPr>
        <a:xfrm>
          <a:off x="1536700" y="114300"/>
          <a:ext cx="1016000" cy="317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MESCLAS 2</a:t>
          </a:r>
        </a:p>
      </xdr:txBody>
    </xdr:sp>
    <xdr:clientData/>
  </xdr:twoCellAnchor>
  <xdr:twoCellAnchor>
    <xdr:from>
      <xdr:col>2</xdr:col>
      <xdr:colOff>698500</xdr:colOff>
      <xdr:row>0</xdr:row>
      <xdr:rowOff>114300</xdr:rowOff>
    </xdr:from>
    <xdr:to>
      <xdr:col>3</xdr:col>
      <xdr:colOff>508000</xdr:colOff>
      <xdr:row>0</xdr:row>
      <xdr:rowOff>431800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1A960DE-7AE5-4664-940D-21A07BE932B5}"/>
            </a:ext>
          </a:extLst>
        </xdr:cNvPr>
        <xdr:cNvSpPr txBox="1"/>
      </xdr:nvSpPr>
      <xdr:spPr>
        <a:xfrm>
          <a:off x="2667000" y="114300"/>
          <a:ext cx="1016000" cy="317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MESCLAS 3</a:t>
          </a:r>
        </a:p>
      </xdr:txBody>
    </xdr:sp>
    <xdr:clientData/>
  </xdr:twoCellAnchor>
  <xdr:twoCellAnchor>
    <xdr:from>
      <xdr:col>8</xdr:col>
      <xdr:colOff>0</xdr:colOff>
      <xdr:row>53</xdr:row>
      <xdr:rowOff>174625</xdr:rowOff>
    </xdr:from>
    <xdr:to>
      <xdr:col>23</xdr:col>
      <xdr:colOff>419100</xdr:colOff>
      <xdr:row>67</xdr:row>
      <xdr:rowOff>165100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42B0F05-5E4A-483F-B418-5D0BA5DEE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68</xdr:row>
      <xdr:rowOff>174625</xdr:rowOff>
    </xdr:from>
    <xdr:to>
      <xdr:col>23</xdr:col>
      <xdr:colOff>419100</xdr:colOff>
      <xdr:row>82</xdr:row>
      <xdr:rowOff>165100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B1991EF-84C7-4D68-B55A-DD35D535F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522169</xdr:colOff>
      <xdr:row>0</xdr:row>
      <xdr:rowOff>41158</xdr:rowOff>
    </xdr:from>
    <xdr:to>
      <xdr:col>4</xdr:col>
      <xdr:colOff>23811</xdr:colOff>
      <xdr:row>0</xdr:row>
      <xdr:rowOff>380999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E2715-F80B-46FE-9AA8-B5D3D0414605}"/>
            </a:ext>
          </a:extLst>
        </xdr:cNvPr>
        <xdr:cNvSpPr txBox="1"/>
      </xdr:nvSpPr>
      <xdr:spPr>
        <a:xfrm>
          <a:off x="1874719" y="41158"/>
          <a:ext cx="682742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0</xdr:col>
      <xdr:colOff>87767</xdr:colOff>
      <xdr:row>0</xdr:row>
      <xdr:rowOff>52388</xdr:rowOff>
    </xdr:from>
    <xdr:to>
      <xdr:col>2</xdr:col>
      <xdr:colOff>476249</xdr:colOff>
      <xdr:row>0</xdr:row>
      <xdr:rowOff>369094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193B37-831C-4101-9C95-7F29AE73A4AC}"/>
            </a:ext>
          </a:extLst>
        </xdr:cNvPr>
        <xdr:cNvSpPr txBox="1"/>
      </xdr:nvSpPr>
      <xdr:spPr>
        <a:xfrm>
          <a:off x="87767" y="52388"/>
          <a:ext cx="1741032" cy="31670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EMPACOTAMENTO</a:t>
          </a:r>
        </a:p>
      </xdr:txBody>
    </xdr:sp>
    <xdr:clientData/>
  </xdr:twoCellAnchor>
  <xdr:twoCellAnchor>
    <xdr:from>
      <xdr:col>4</xdr:col>
      <xdr:colOff>83341</xdr:colOff>
      <xdr:row>0</xdr:row>
      <xdr:rowOff>47624</xdr:rowOff>
    </xdr:from>
    <xdr:to>
      <xdr:col>5</xdr:col>
      <xdr:colOff>369092</xdr:colOff>
      <xdr:row>0</xdr:row>
      <xdr:rowOff>365124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5A9A6C-7A97-4362-9B62-7EC6AA7F505E}"/>
            </a:ext>
          </a:extLst>
        </xdr:cNvPr>
        <xdr:cNvSpPr txBox="1"/>
      </xdr:nvSpPr>
      <xdr:spPr>
        <a:xfrm>
          <a:off x="2616991" y="47624"/>
          <a:ext cx="962026" cy="3175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3 TRAÇOS</a:t>
          </a:r>
        </a:p>
      </xdr:txBody>
    </xdr:sp>
    <xdr:clientData/>
  </xdr:twoCellAnchor>
  <xdr:twoCellAnchor>
    <xdr:from>
      <xdr:col>6</xdr:col>
      <xdr:colOff>69046</xdr:colOff>
      <xdr:row>0</xdr:row>
      <xdr:rowOff>57152</xdr:rowOff>
    </xdr:from>
    <xdr:to>
      <xdr:col>7</xdr:col>
      <xdr:colOff>271453</xdr:colOff>
      <xdr:row>0</xdr:row>
      <xdr:rowOff>374652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E41A92-D12E-4127-BF17-7415D9BAA249}"/>
            </a:ext>
          </a:extLst>
        </xdr:cNvPr>
        <xdr:cNvSpPr txBox="1"/>
      </xdr:nvSpPr>
      <xdr:spPr>
        <a:xfrm>
          <a:off x="3659971" y="57152"/>
          <a:ext cx="964407" cy="3175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4 TRAÇOS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197198</xdr:colOff>
      <xdr:row>0</xdr:row>
      <xdr:rowOff>52364</xdr:rowOff>
    </xdr:from>
    <xdr:to>
      <xdr:col>5</xdr:col>
      <xdr:colOff>382399</xdr:colOff>
      <xdr:row>0</xdr:row>
      <xdr:rowOff>392205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B1AD82-0D76-4738-9572-EE3433BEC019}"/>
            </a:ext>
          </a:extLst>
        </xdr:cNvPr>
        <xdr:cNvSpPr txBox="1"/>
      </xdr:nvSpPr>
      <xdr:spPr>
        <a:xfrm>
          <a:off x="2796963" y="52364"/>
          <a:ext cx="868760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0</xdr:col>
      <xdr:colOff>87767</xdr:colOff>
      <xdr:row>0</xdr:row>
      <xdr:rowOff>52388</xdr:rowOff>
    </xdr:from>
    <xdr:to>
      <xdr:col>2</xdr:col>
      <xdr:colOff>476249</xdr:colOff>
      <xdr:row>0</xdr:row>
      <xdr:rowOff>369094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EDE4BB-DAAE-47C5-9397-34D4F9BF311F}"/>
            </a:ext>
          </a:extLst>
        </xdr:cNvPr>
        <xdr:cNvSpPr txBox="1"/>
      </xdr:nvSpPr>
      <xdr:spPr>
        <a:xfrm>
          <a:off x="87767" y="52388"/>
          <a:ext cx="1621129" cy="31670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EMPACOTAMENTO</a:t>
          </a:r>
        </a:p>
      </xdr:txBody>
    </xdr:sp>
    <xdr:clientData/>
  </xdr:twoCellAnchor>
  <xdr:twoCellAnchor>
    <xdr:from>
      <xdr:col>2</xdr:col>
      <xdr:colOff>542783</xdr:colOff>
      <xdr:row>0</xdr:row>
      <xdr:rowOff>58830</xdr:rowOff>
    </xdr:from>
    <xdr:to>
      <xdr:col>4</xdr:col>
      <xdr:colOff>144975</xdr:colOff>
      <xdr:row>0</xdr:row>
      <xdr:rowOff>376330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B74973-AE41-4C08-B9EF-F3B768103A1A}"/>
            </a:ext>
          </a:extLst>
        </xdr:cNvPr>
        <xdr:cNvSpPr txBox="1"/>
      </xdr:nvSpPr>
      <xdr:spPr>
        <a:xfrm>
          <a:off x="1775430" y="58830"/>
          <a:ext cx="969310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  <xdr:twoCellAnchor>
    <xdr:from>
      <xdr:col>7</xdr:col>
      <xdr:colOff>102662</xdr:colOff>
      <xdr:row>0</xdr:row>
      <xdr:rowOff>57152</xdr:rowOff>
    </xdr:from>
    <xdr:to>
      <xdr:col>8</xdr:col>
      <xdr:colOff>484363</xdr:colOff>
      <xdr:row>0</xdr:row>
      <xdr:rowOff>374652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415D6C-BFA9-4229-A40B-4861C05FC704}"/>
            </a:ext>
          </a:extLst>
        </xdr:cNvPr>
        <xdr:cNvSpPr txBox="1"/>
      </xdr:nvSpPr>
      <xdr:spPr>
        <a:xfrm>
          <a:off x="5010838" y="57152"/>
          <a:ext cx="1143701" cy="3175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4 TRAÇOS</a:t>
          </a:r>
        </a:p>
      </xdr:txBody>
    </xdr:sp>
    <xdr:clientData/>
  </xdr:twoCellAnchor>
  <xdr:twoCellAnchor>
    <xdr:from>
      <xdr:col>5</xdr:col>
      <xdr:colOff>479176</xdr:colOff>
      <xdr:row>0</xdr:row>
      <xdr:rowOff>52668</xdr:rowOff>
    </xdr:from>
    <xdr:to>
      <xdr:col>6</xdr:col>
      <xdr:colOff>939319</xdr:colOff>
      <xdr:row>0</xdr:row>
      <xdr:rowOff>370168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37BB6A-784D-4597-AF30-B2E9A76B8464}"/>
            </a:ext>
          </a:extLst>
        </xdr:cNvPr>
        <xdr:cNvSpPr txBox="1"/>
      </xdr:nvSpPr>
      <xdr:spPr>
        <a:xfrm>
          <a:off x="3762500" y="52668"/>
          <a:ext cx="1143701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Avançar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24423</xdr:colOff>
      <xdr:row>8</xdr:row>
      <xdr:rowOff>12211</xdr:rowOff>
    </xdr:from>
    <xdr:to>
      <xdr:col>11</xdr:col>
      <xdr:colOff>256445</xdr:colOff>
      <xdr:row>23</xdr:row>
      <xdr:rowOff>12211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9296B5-F761-4C6A-A368-35161F217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583962</xdr:colOff>
      <xdr:row>8</xdr:row>
      <xdr:rowOff>0</xdr:rowOff>
    </xdr:from>
    <xdr:to>
      <xdr:col>18</xdr:col>
      <xdr:colOff>744904</xdr:colOff>
      <xdr:row>23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A2C10D-B5C4-4285-9754-E8B2923CB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27</xdr:row>
      <xdr:rowOff>10990</xdr:rowOff>
    </xdr:from>
    <xdr:to>
      <xdr:col>11</xdr:col>
      <xdr:colOff>251313</xdr:colOff>
      <xdr:row>41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1A54C2-15B9-4286-B31B-DD5F99968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11724</xdr:colOff>
      <xdr:row>27</xdr:row>
      <xdr:rowOff>2930</xdr:rowOff>
    </xdr:from>
    <xdr:to>
      <xdr:col>19</xdr:col>
      <xdr:colOff>0</xdr:colOff>
      <xdr:row>40</xdr:row>
      <xdr:rowOff>146537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1B23140-168D-48FE-B509-C902A6202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5618</xdr:colOff>
      <xdr:row>45</xdr:row>
      <xdr:rowOff>1466</xdr:rowOff>
    </xdr:from>
    <xdr:to>
      <xdr:col>11</xdr:col>
      <xdr:colOff>256442</xdr:colOff>
      <xdr:row>60</xdr:row>
      <xdr:rowOff>12213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6AD40C-8114-4D03-86F4-6B6BA06BA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9526</xdr:colOff>
      <xdr:row>44</xdr:row>
      <xdr:rowOff>157529</xdr:rowOff>
    </xdr:from>
    <xdr:to>
      <xdr:col>18</xdr:col>
      <xdr:colOff>744905</xdr:colOff>
      <xdr:row>60</xdr:row>
      <xdr:rowOff>12212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3D0B819-CFF2-44F9-8E1E-8DEED9096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50645</xdr:colOff>
      <xdr:row>0</xdr:row>
      <xdr:rowOff>52364</xdr:rowOff>
    </xdr:from>
    <xdr:to>
      <xdr:col>1</xdr:col>
      <xdr:colOff>748730</xdr:colOff>
      <xdr:row>0</xdr:row>
      <xdr:rowOff>392205</xdr:rowOff>
    </xdr:to>
    <xdr:sp macro="" textlink="">
      <xdr:nvSpPr>
        <xdr:cNvPr id="8" name="CaixaDeTex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C85DF1-AB65-46BC-8480-9C5DBBE9E073}"/>
            </a:ext>
          </a:extLst>
        </xdr:cNvPr>
        <xdr:cNvSpPr txBox="1"/>
      </xdr:nvSpPr>
      <xdr:spPr>
        <a:xfrm>
          <a:off x="966510" y="52364"/>
          <a:ext cx="698085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0</xdr:col>
      <xdr:colOff>151998</xdr:colOff>
      <xdr:row>0</xdr:row>
      <xdr:rowOff>58830</xdr:rowOff>
    </xdr:from>
    <xdr:to>
      <xdr:col>0</xdr:col>
      <xdr:colOff>889863</xdr:colOff>
      <xdr:row>0</xdr:row>
      <xdr:rowOff>376330</xdr:rowOff>
    </xdr:to>
    <xdr:sp macro="" textlink="">
      <xdr:nvSpPr>
        <xdr:cNvPr id="10" name="CaixaDeText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B6F0881-8288-4736-B70F-BD51DFAC3358}"/>
            </a:ext>
          </a:extLst>
        </xdr:cNvPr>
        <xdr:cNvSpPr txBox="1"/>
      </xdr:nvSpPr>
      <xdr:spPr>
        <a:xfrm>
          <a:off x="151998" y="58830"/>
          <a:ext cx="737865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  <xdr:twoCellAnchor>
    <xdr:from>
      <xdr:col>1</xdr:col>
      <xdr:colOff>821083</xdr:colOff>
      <xdr:row>0</xdr:row>
      <xdr:rowOff>52668</xdr:rowOff>
    </xdr:from>
    <xdr:to>
      <xdr:col>3</xdr:col>
      <xdr:colOff>48846</xdr:colOff>
      <xdr:row>0</xdr:row>
      <xdr:rowOff>370168</xdr:rowOff>
    </xdr:to>
    <xdr:sp macro="" textlink="">
      <xdr:nvSpPr>
        <xdr:cNvPr id="12" name="CaixaDeText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507683-A0D0-4AD0-86C8-FDFD313055AE}"/>
            </a:ext>
          </a:extLst>
        </xdr:cNvPr>
        <xdr:cNvSpPr txBox="1"/>
      </xdr:nvSpPr>
      <xdr:spPr>
        <a:xfrm>
          <a:off x="1736948" y="52668"/>
          <a:ext cx="925167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Avançar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164945</xdr:colOff>
      <xdr:row>0</xdr:row>
      <xdr:rowOff>52364</xdr:rowOff>
    </xdr:from>
    <xdr:to>
      <xdr:col>2</xdr:col>
      <xdr:colOff>110555</xdr:colOff>
      <xdr:row>0</xdr:row>
      <xdr:rowOff>392205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B36097-0023-41F0-BE18-9009F456CB40}"/>
            </a:ext>
          </a:extLst>
        </xdr:cNvPr>
        <xdr:cNvSpPr txBox="1"/>
      </xdr:nvSpPr>
      <xdr:spPr>
        <a:xfrm>
          <a:off x="879320" y="52364"/>
          <a:ext cx="659985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0</xdr:col>
      <xdr:colOff>151998</xdr:colOff>
      <xdr:row>0</xdr:row>
      <xdr:rowOff>58830</xdr:rowOff>
    </xdr:from>
    <xdr:to>
      <xdr:col>1</xdr:col>
      <xdr:colOff>104775</xdr:colOff>
      <xdr:row>0</xdr:row>
      <xdr:rowOff>376330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980D1B-4A6B-4001-B6FC-292CF5516FB8}"/>
            </a:ext>
          </a:extLst>
        </xdr:cNvPr>
        <xdr:cNvSpPr txBox="1"/>
      </xdr:nvSpPr>
      <xdr:spPr>
        <a:xfrm>
          <a:off x="151998" y="58830"/>
          <a:ext cx="667152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161471</xdr:colOff>
      <xdr:row>0</xdr:row>
      <xdr:rowOff>52364</xdr:rowOff>
    </xdr:from>
    <xdr:to>
      <xdr:col>7</xdr:col>
      <xdr:colOff>257174</xdr:colOff>
      <xdr:row>0</xdr:row>
      <xdr:rowOff>392205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905A6E-AC7F-47A8-9593-5F9FA321444B}"/>
            </a:ext>
          </a:extLst>
        </xdr:cNvPr>
        <xdr:cNvSpPr txBox="1"/>
      </xdr:nvSpPr>
      <xdr:spPr>
        <a:xfrm>
          <a:off x="4066721" y="52364"/>
          <a:ext cx="743403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2</xdr:col>
      <xdr:colOff>52041</xdr:colOff>
      <xdr:row>0</xdr:row>
      <xdr:rowOff>52388</xdr:rowOff>
    </xdr:from>
    <xdr:to>
      <xdr:col>4</xdr:col>
      <xdr:colOff>419100</xdr:colOff>
      <xdr:row>0</xdr:row>
      <xdr:rowOff>369094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BD9C13-5E7B-4968-9342-21967ABC16B4}"/>
            </a:ext>
          </a:extLst>
        </xdr:cNvPr>
        <xdr:cNvSpPr txBox="1"/>
      </xdr:nvSpPr>
      <xdr:spPr>
        <a:xfrm>
          <a:off x="1280766" y="52388"/>
          <a:ext cx="1662459" cy="31670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EMPACOTAMENTO</a:t>
          </a:r>
        </a:p>
      </xdr:txBody>
    </xdr:sp>
    <xdr:clientData/>
  </xdr:twoCellAnchor>
  <xdr:twoCellAnchor>
    <xdr:from>
      <xdr:col>4</xdr:col>
      <xdr:colOff>507057</xdr:colOff>
      <xdr:row>0</xdr:row>
      <xdr:rowOff>58830</xdr:rowOff>
    </xdr:from>
    <xdr:to>
      <xdr:col>6</xdr:col>
      <xdr:colOff>66386</xdr:colOff>
      <xdr:row>0</xdr:row>
      <xdr:rowOff>376330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6755D8-2617-44ED-BBC3-DA44500D397C}"/>
            </a:ext>
          </a:extLst>
        </xdr:cNvPr>
        <xdr:cNvSpPr txBox="1"/>
      </xdr:nvSpPr>
      <xdr:spPr>
        <a:xfrm>
          <a:off x="3031182" y="58830"/>
          <a:ext cx="940454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  <xdr:twoCellAnchor>
    <xdr:from>
      <xdr:col>0</xdr:col>
      <xdr:colOff>66944</xdr:colOff>
      <xdr:row>0</xdr:row>
      <xdr:rowOff>45246</xdr:rowOff>
    </xdr:from>
    <xdr:to>
      <xdr:col>1</xdr:col>
      <xdr:colOff>567707</xdr:colOff>
      <xdr:row>0</xdr:row>
      <xdr:rowOff>362746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AAB629-795E-4C68-8838-71400C9331AE}"/>
            </a:ext>
          </a:extLst>
        </xdr:cNvPr>
        <xdr:cNvSpPr txBox="1"/>
      </xdr:nvSpPr>
      <xdr:spPr>
        <a:xfrm>
          <a:off x="66944" y="45246"/>
          <a:ext cx="1143701" cy="3175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3 TRAÇOS</a:t>
          </a:r>
        </a:p>
      </xdr:txBody>
    </xdr:sp>
    <xdr:clientData/>
  </xdr:twoCellAnchor>
  <xdr:twoCellAnchor>
    <xdr:from>
      <xdr:col>7</xdr:col>
      <xdr:colOff>336294</xdr:colOff>
      <xdr:row>0</xdr:row>
      <xdr:rowOff>52668</xdr:rowOff>
    </xdr:from>
    <xdr:to>
      <xdr:col>9</xdr:col>
      <xdr:colOff>47625</xdr:colOff>
      <xdr:row>0</xdr:row>
      <xdr:rowOff>400050</xdr:rowOff>
    </xdr:to>
    <xdr:sp macro="" textlink="">
      <xdr:nvSpPr>
        <xdr:cNvPr id="6" name="CaixaDeText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AD9603-BFD5-4322-A23A-267D05AD4743}"/>
            </a:ext>
          </a:extLst>
        </xdr:cNvPr>
        <xdr:cNvSpPr txBox="1"/>
      </xdr:nvSpPr>
      <xdr:spPr>
        <a:xfrm>
          <a:off x="4889244" y="52668"/>
          <a:ext cx="1006731" cy="347382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Avançar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24423</xdr:colOff>
      <xdr:row>9</xdr:row>
      <xdr:rowOff>12212</xdr:rowOff>
    </xdr:from>
    <xdr:to>
      <xdr:col>11</xdr:col>
      <xdr:colOff>256445</xdr:colOff>
      <xdr:row>24</xdr:row>
      <xdr:rowOff>183174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3622FE-DD3A-44A7-8B45-46CB37CE1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583962</xdr:colOff>
      <xdr:row>9</xdr:row>
      <xdr:rowOff>1</xdr:rowOff>
    </xdr:from>
    <xdr:to>
      <xdr:col>18</xdr:col>
      <xdr:colOff>744904</xdr:colOff>
      <xdr:row>25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E40035-8645-4365-B4F9-2E76169E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29</xdr:row>
      <xdr:rowOff>10989</xdr:rowOff>
    </xdr:from>
    <xdr:to>
      <xdr:col>11</xdr:col>
      <xdr:colOff>251313</xdr:colOff>
      <xdr:row>45</xdr:row>
      <xdr:rowOff>183172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CBF6A4-DE88-4A9C-A120-04534C13B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11724</xdr:colOff>
      <xdr:row>29</xdr:row>
      <xdr:rowOff>2930</xdr:rowOff>
    </xdr:from>
    <xdr:to>
      <xdr:col>19</xdr:col>
      <xdr:colOff>0</xdr:colOff>
      <xdr:row>45</xdr:row>
      <xdr:rowOff>170961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218E53-7849-4524-A39B-01E5F9520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5618</xdr:colOff>
      <xdr:row>50</xdr:row>
      <xdr:rowOff>1466</xdr:rowOff>
    </xdr:from>
    <xdr:to>
      <xdr:col>11</xdr:col>
      <xdr:colOff>256442</xdr:colOff>
      <xdr:row>67</xdr:row>
      <xdr:rowOff>12213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89FA68A-37F7-47DF-B8E0-11BD8A86B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9526</xdr:colOff>
      <xdr:row>49</xdr:row>
      <xdr:rowOff>157529</xdr:rowOff>
    </xdr:from>
    <xdr:to>
      <xdr:col>18</xdr:col>
      <xdr:colOff>744905</xdr:colOff>
      <xdr:row>67</xdr:row>
      <xdr:rowOff>12212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AD34F3-7108-485D-A52F-8C5EBAB90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50645</xdr:colOff>
      <xdr:row>0</xdr:row>
      <xdr:rowOff>52364</xdr:rowOff>
    </xdr:from>
    <xdr:to>
      <xdr:col>1</xdr:col>
      <xdr:colOff>748730</xdr:colOff>
      <xdr:row>0</xdr:row>
      <xdr:rowOff>392205</xdr:rowOff>
    </xdr:to>
    <xdr:sp macro="" textlink="">
      <xdr:nvSpPr>
        <xdr:cNvPr id="8" name="CaixaDeTex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072A2D-B6BE-413B-A39A-432CFDEC09CA}"/>
            </a:ext>
          </a:extLst>
        </xdr:cNvPr>
        <xdr:cNvSpPr txBox="1"/>
      </xdr:nvSpPr>
      <xdr:spPr>
        <a:xfrm>
          <a:off x="965045" y="52364"/>
          <a:ext cx="698085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0</xdr:col>
      <xdr:colOff>151998</xdr:colOff>
      <xdr:row>0</xdr:row>
      <xdr:rowOff>58830</xdr:rowOff>
    </xdr:from>
    <xdr:to>
      <xdr:col>0</xdr:col>
      <xdr:colOff>889863</xdr:colOff>
      <xdr:row>0</xdr:row>
      <xdr:rowOff>376330</xdr:rowOff>
    </xdr:to>
    <xdr:sp macro="" textlink="">
      <xdr:nvSpPr>
        <xdr:cNvPr id="9" name="CaixaDeText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4E3FF65-5C9F-43C1-9FDE-87831ABAE338}"/>
            </a:ext>
          </a:extLst>
        </xdr:cNvPr>
        <xdr:cNvSpPr txBox="1"/>
      </xdr:nvSpPr>
      <xdr:spPr>
        <a:xfrm>
          <a:off x="151998" y="58830"/>
          <a:ext cx="737865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  <xdr:twoCellAnchor>
    <xdr:from>
      <xdr:col>1</xdr:col>
      <xdr:colOff>821083</xdr:colOff>
      <xdr:row>0</xdr:row>
      <xdr:rowOff>52668</xdr:rowOff>
    </xdr:from>
    <xdr:to>
      <xdr:col>3</xdr:col>
      <xdr:colOff>48846</xdr:colOff>
      <xdr:row>0</xdr:row>
      <xdr:rowOff>370168</xdr:rowOff>
    </xdr:to>
    <xdr:sp macro="" textlink="">
      <xdr:nvSpPr>
        <xdr:cNvPr id="10" name="CaixaDeText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39D8B52-F7CF-446F-92F5-0528E5F597E5}"/>
            </a:ext>
          </a:extLst>
        </xdr:cNvPr>
        <xdr:cNvSpPr txBox="1"/>
      </xdr:nvSpPr>
      <xdr:spPr>
        <a:xfrm>
          <a:off x="1735483" y="52668"/>
          <a:ext cx="932738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Avançar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400006</xdr:colOff>
      <xdr:row>0</xdr:row>
      <xdr:rowOff>52364</xdr:rowOff>
    </xdr:from>
    <xdr:to>
      <xdr:col>2</xdr:col>
      <xdr:colOff>362828</xdr:colOff>
      <xdr:row>0</xdr:row>
      <xdr:rowOff>392205</xdr:rowOff>
    </xdr:to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574D32-EA34-4E50-B306-CD574E09D345}"/>
            </a:ext>
          </a:extLst>
        </xdr:cNvPr>
        <xdr:cNvSpPr txBox="1"/>
      </xdr:nvSpPr>
      <xdr:spPr>
        <a:xfrm>
          <a:off x="1885906" y="52364"/>
          <a:ext cx="677197" cy="33984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MENU</a:t>
          </a:r>
        </a:p>
      </xdr:txBody>
    </xdr:sp>
    <xdr:clientData/>
  </xdr:twoCellAnchor>
  <xdr:twoCellAnchor>
    <xdr:from>
      <xdr:col>0</xdr:col>
      <xdr:colOff>85323</xdr:colOff>
      <xdr:row>0</xdr:row>
      <xdr:rowOff>58830</xdr:rowOff>
    </xdr:from>
    <xdr:to>
      <xdr:col>1</xdr:col>
      <xdr:colOff>294619</xdr:colOff>
      <xdr:row>0</xdr:row>
      <xdr:rowOff>376330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103F21-CBB2-47C9-B09A-12918B1386D4}"/>
            </a:ext>
          </a:extLst>
        </xdr:cNvPr>
        <xdr:cNvSpPr txBox="1"/>
      </xdr:nvSpPr>
      <xdr:spPr>
        <a:xfrm>
          <a:off x="1075923" y="58830"/>
          <a:ext cx="704596" cy="317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0000"/>
    <pageSetUpPr fitToPage="1"/>
  </sheetPr>
  <dimension ref="A1:A27"/>
  <sheetViews>
    <sheetView showGridLines="0" showRowColHeaders="0" zoomScaleNormal="100" workbookViewId="0"/>
  </sheetViews>
  <sheetFormatPr baseColWidth="10" defaultColWidth="9.1640625" defaultRowHeight="13" x14ac:dyDescent="0.15"/>
  <cols>
    <col min="1" max="56" width="5.6640625" style="351" customWidth="1"/>
    <col min="57" max="16384" width="9.1640625" style="351"/>
  </cols>
  <sheetData>
    <row r="1" ht="27" customHeight="1" x14ac:dyDescent="0.15"/>
    <row r="2" ht="27" customHeight="1" x14ac:dyDescent="0.15"/>
    <row r="3" ht="27" customHeight="1" x14ac:dyDescent="0.15"/>
    <row r="4" ht="27" customHeight="1" x14ac:dyDescent="0.15"/>
    <row r="5" ht="27" customHeight="1" x14ac:dyDescent="0.15"/>
    <row r="6" ht="27" customHeight="1" x14ac:dyDescent="0.15"/>
    <row r="7" ht="27" customHeight="1" x14ac:dyDescent="0.15"/>
    <row r="8" ht="27" customHeight="1" x14ac:dyDescent="0.15"/>
    <row r="9" ht="27" customHeight="1" x14ac:dyDescent="0.15"/>
    <row r="10" ht="27" customHeight="1" x14ac:dyDescent="0.15"/>
    <row r="11" ht="27" customHeight="1" x14ac:dyDescent="0.15"/>
    <row r="12" ht="27" customHeight="1" x14ac:dyDescent="0.15"/>
    <row r="13" ht="27" customHeight="1" x14ac:dyDescent="0.15"/>
    <row r="14" ht="27" customHeight="1" x14ac:dyDescent="0.15"/>
    <row r="15" ht="27" customHeight="1" x14ac:dyDescent="0.15"/>
    <row r="16" ht="27" customHeight="1" x14ac:dyDescent="0.15"/>
    <row r="17" ht="27" customHeight="1" x14ac:dyDescent="0.15"/>
    <row r="18" ht="27" customHeight="1" x14ac:dyDescent="0.15"/>
    <row r="19" ht="27" customHeight="1" x14ac:dyDescent="0.15"/>
    <row r="20" ht="27" customHeight="1" x14ac:dyDescent="0.15"/>
    <row r="21" ht="27" customHeight="1" x14ac:dyDescent="0.15"/>
    <row r="22" ht="27" customHeight="1" x14ac:dyDescent="0.15"/>
    <row r="23" ht="27" customHeight="1" x14ac:dyDescent="0.15"/>
    <row r="24" ht="27" customHeight="1" x14ac:dyDescent="0.15"/>
    <row r="25" ht="27" customHeight="1" x14ac:dyDescent="0.15"/>
    <row r="26" ht="27" customHeight="1" x14ac:dyDescent="0.15"/>
    <row r="27" ht="27" customHeight="1" x14ac:dyDescent="0.15"/>
  </sheetData>
  <pageMargins left="0.51181102362204722" right="0.51181102362204722" top="0.78740157480314965" bottom="0.78740157480314965" header="0.31496062992125984" footer="0.31496062992125984"/>
  <pageSetup paperSize="9" scale="73" orientation="landscape" horizontalDpi="4294967293" verticalDpi="4294967293" r:id="rId1"/>
  <headerFooter>
    <oddFooter>&amp;C&amp;1#&amp;"Calibri"&amp;10&amp;KFF0000This content is Confidential.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F2D1-7724-4232-B783-EC79AC21625D}">
  <sheetPr codeName="Planilha2">
    <tabColor rgb="FFFFC000"/>
  </sheetPr>
  <dimension ref="A1:O46"/>
  <sheetViews>
    <sheetView tabSelected="1" zoomScale="80" zoomScaleNormal="80" workbookViewId="0">
      <selection sqref="A1:A1048576"/>
    </sheetView>
  </sheetViews>
  <sheetFormatPr baseColWidth="10" defaultColWidth="8.83203125" defaultRowHeight="13" x14ac:dyDescent="0.15"/>
  <cols>
    <col min="1" max="1" width="12.6640625" customWidth="1"/>
    <col min="2" max="4" width="11" customWidth="1"/>
    <col min="5" max="5" width="12.6640625" customWidth="1"/>
    <col min="6" max="6" width="15.6640625" bestFit="1" customWidth="1"/>
    <col min="7" max="10" width="12.6640625" customWidth="1"/>
    <col min="256" max="256" width="1.1640625" customWidth="1"/>
    <col min="257" max="257" width="12.6640625" customWidth="1"/>
    <col min="258" max="260" width="11" customWidth="1"/>
    <col min="261" max="261" width="12.6640625" customWidth="1"/>
    <col min="262" max="262" width="15.6640625" bestFit="1" customWidth="1"/>
    <col min="263" max="266" width="12.6640625" customWidth="1"/>
    <col min="512" max="512" width="1.1640625" customWidth="1"/>
    <col min="513" max="513" width="12.6640625" customWidth="1"/>
    <col min="514" max="516" width="11" customWidth="1"/>
    <col min="517" max="517" width="12.6640625" customWidth="1"/>
    <col min="518" max="518" width="15.6640625" bestFit="1" customWidth="1"/>
    <col min="519" max="522" width="12.6640625" customWidth="1"/>
    <col min="768" max="768" width="1.1640625" customWidth="1"/>
    <col min="769" max="769" width="12.6640625" customWidth="1"/>
    <col min="770" max="772" width="11" customWidth="1"/>
    <col min="773" max="773" width="12.6640625" customWidth="1"/>
    <col min="774" max="774" width="15.6640625" bestFit="1" customWidth="1"/>
    <col min="775" max="778" width="12.6640625" customWidth="1"/>
    <col min="1024" max="1024" width="1.1640625" customWidth="1"/>
    <col min="1025" max="1025" width="12.6640625" customWidth="1"/>
    <col min="1026" max="1028" width="11" customWidth="1"/>
    <col min="1029" max="1029" width="12.6640625" customWidth="1"/>
    <col min="1030" max="1030" width="15.6640625" bestFit="1" customWidth="1"/>
    <col min="1031" max="1034" width="12.6640625" customWidth="1"/>
    <col min="1280" max="1280" width="1.1640625" customWidth="1"/>
    <col min="1281" max="1281" width="12.6640625" customWidth="1"/>
    <col min="1282" max="1284" width="11" customWidth="1"/>
    <col min="1285" max="1285" width="12.6640625" customWidth="1"/>
    <col min="1286" max="1286" width="15.6640625" bestFit="1" customWidth="1"/>
    <col min="1287" max="1290" width="12.6640625" customWidth="1"/>
    <col min="1536" max="1536" width="1.1640625" customWidth="1"/>
    <col min="1537" max="1537" width="12.6640625" customWidth="1"/>
    <col min="1538" max="1540" width="11" customWidth="1"/>
    <col min="1541" max="1541" width="12.6640625" customWidth="1"/>
    <col min="1542" max="1542" width="15.6640625" bestFit="1" customWidth="1"/>
    <col min="1543" max="1546" width="12.6640625" customWidth="1"/>
    <col min="1792" max="1792" width="1.1640625" customWidth="1"/>
    <col min="1793" max="1793" width="12.6640625" customWidth="1"/>
    <col min="1794" max="1796" width="11" customWidth="1"/>
    <col min="1797" max="1797" width="12.6640625" customWidth="1"/>
    <col min="1798" max="1798" width="15.6640625" bestFit="1" customWidth="1"/>
    <col min="1799" max="1802" width="12.6640625" customWidth="1"/>
    <col min="2048" max="2048" width="1.1640625" customWidth="1"/>
    <col min="2049" max="2049" width="12.6640625" customWidth="1"/>
    <col min="2050" max="2052" width="11" customWidth="1"/>
    <col min="2053" max="2053" width="12.6640625" customWidth="1"/>
    <col min="2054" max="2054" width="15.6640625" bestFit="1" customWidth="1"/>
    <col min="2055" max="2058" width="12.6640625" customWidth="1"/>
    <col min="2304" max="2304" width="1.1640625" customWidth="1"/>
    <col min="2305" max="2305" width="12.6640625" customWidth="1"/>
    <col min="2306" max="2308" width="11" customWidth="1"/>
    <col min="2309" max="2309" width="12.6640625" customWidth="1"/>
    <col min="2310" max="2310" width="15.6640625" bestFit="1" customWidth="1"/>
    <col min="2311" max="2314" width="12.6640625" customWidth="1"/>
    <col min="2560" max="2560" width="1.1640625" customWidth="1"/>
    <col min="2561" max="2561" width="12.6640625" customWidth="1"/>
    <col min="2562" max="2564" width="11" customWidth="1"/>
    <col min="2565" max="2565" width="12.6640625" customWidth="1"/>
    <col min="2566" max="2566" width="15.6640625" bestFit="1" customWidth="1"/>
    <col min="2567" max="2570" width="12.6640625" customWidth="1"/>
    <col min="2816" max="2816" width="1.1640625" customWidth="1"/>
    <col min="2817" max="2817" width="12.6640625" customWidth="1"/>
    <col min="2818" max="2820" width="11" customWidth="1"/>
    <col min="2821" max="2821" width="12.6640625" customWidth="1"/>
    <col min="2822" max="2822" width="15.6640625" bestFit="1" customWidth="1"/>
    <col min="2823" max="2826" width="12.6640625" customWidth="1"/>
    <col min="3072" max="3072" width="1.1640625" customWidth="1"/>
    <col min="3073" max="3073" width="12.6640625" customWidth="1"/>
    <col min="3074" max="3076" width="11" customWidth="1"/>
    <col min="3077" max="3077" width="12.6640625" customWidth="1"/>
    <col min="3078" max="3078" width="15.6640625" bestFit="1" customWidth="1"/>
    <col min="3079" max="3082" width="12.6640625" customWidth="1"/>
    <col min="3328" max="3328" width="1.1640625" customWidth="1"/>
    <col min="3329" max="3329" width="12.6640625" customWidth="1"/>
    <col min="3330" max="3332" width="11" customWidth="1"/>
    <col min="3333" max="3333" width="12.6640625" customWidth="1"/>
    <col min="3334" max="3334" width="15.6640625" bestFit="1" customWidth="1"/>
    <col min="3335" max="3338" width="12.6640625" customWidth="1"/>
    <col min="3584" max="3584" width="1.1640625" customWidth="1"/>
    <col min="3585" max="3585" width="12.6640625" customWidth="1"/>
    <col min="3586" max="3588" width="11" customWidth="1"/>
    <col min="3589" max="3589" width="12.6640625" customWidth="1"/>
    <col min="3590" max="3590" width="15.6640625" bestFit="1" customWidth="1"/>
    <col min="3591" max="3594" width="12.6640625" customWidth="1"/>
    <col min="3840" max="3840" width="1.1640625" customWidth="1"/>
    <col min="3841" max="3841" width="12.6640625" customWidth="1"/>
    <col min="3842" max="3844" width="11" customWidth="1"/>
    <col min="3845" max="3845" width="12.6640625" customWidth="1"/>
    <col min="3846" max="3846" width="15.6640625" bestFit="1" customWidth="1"/>
    <col min="3847" max="3850" width="12.6640625" customWidth="1"/>
    <col min="4096" max="4096" width="1.1640625" customWidth="1"/>
    <col min="4097" max="4097" width="12.6640625" customWidth="1"/>
    <col min="4098" max="4100" width="11" customWidth="1"/>
    <col min="4101" max="4101" width="12.6640625" customWidth="1"/>
    <col min="4102" max="4102" width="15.6640625" bestFit="1" customWidth="1"/>
    <col min="4103" max="4106" width="12.6640625" customWidth="1"/>
    <col min="4352" max="4352" width="1.1640625" customWidth="1"/>
    <col min="4353" max="4353" width="12.6640625" customWidth="1"/>
    <col min="4354" max="4356" width="11" customWidth="1"/>
    <col min="4357" max="4357" width="12.6640625" customWidth="1"/>
    <col min="4358" max="4358" width="15.6640625" bestFit="1" customWidth="1"/>
    <col min="4359" max="4362" width="12.6640625" customWidth="1"/>
    <col min="4608" max="4608" width="1.1640625" customWidth="1"/>
    <col min="4609" max="4609" width="12.6640625" customWidth="1"/>
    <col min="4610" max="4612" width="11" customWidth="1"/>
    <col min="4613" max="4613" width="12.6640625" customWidth="1"/>
    <col min="4614" max="4614" width="15.6640625" bestFit="1" customWidth="1"/>
    <col min="4615" max="4618" width="12.6640625" customWidth="1"/>
    <col min="4864" max="4864" width="1.1640625" customWidth="1"/>
    <col min="4865" max="4865" width="12.6640625" customWidth="1"/>
    <col min="4866" max="4868" width="11" customWidth="1"/>
    <col min="4869" max="4869" width="12.6640625" customWidth="1"/>
    <col min="4870" max="4870" width="15.6640625" bestFit="1" customWidth="1"/>
    <col min="4871" max="4874" width="12.6640625" customWidth="1"/>
    <col min="5120" max="5120" width="1.1640625" customWidth="1"/>
    <col min="5121" max="5121" width="12.6640625" customWidth="1"/>
    <col min="5122" max="5124" width="11" customWidth="1"/>
    <col min="5125" max="5125" width="12.6640625" customWidth="1"/>
    <col min="5126" max="5126" width="15.6640625" bestFit="1" customWidth="1"/>
    <col min="5127" max="5130" width="12.6640625" customWidth="1"/>
    <col min="5376" max="5376" width="1.1640625" customWidth="1"/>
    <col min="5377" max="5377" width="12.6640625" customWidth="1"/>
    <col min="5378" max="5380" width="11" customWidth="1"/>
    <col min="5381" max="5381" width="12.6640625" customWidth="1"/>
    <col min="5382" max="5382" width="15.6640625" bestFit="1" customWidth="1"/>
    <col min="5383" max="5386" width="12.6640625" customWidth="1"/>
    <col min="5632" max="5632" width="1.1640625" customWidth="1"/>
    <col min="5633" max="5633" width="12.6640625" customWidth="1"/>
    <col min="5634" max="5636" width="11" customWidth="1"/>
    <col min="5637" max="5637" width="12.6640625" customWidth="1"/>
    <col min="5638" max="5638" width="15.6640625" bestFit="1" customWidth="1"/>
    <col min="5639" max="5642" width="12.6640625" customWidth="1"/>
    <col min="5888" max="5888" width="1.1640625" customWidth="1"/>
    <col min="5889" max="5889" width="12.6640625" customWidth="1"/>
    <col min="5890" max="5892" width="11" customWidth="1"/>
    <col min="5893" max="5893" width="12.6640625" customWidth="1"/>
    <col min="5894" max="5894" width="15.6640625" bestFit="1" customWidth="1"/>
    <col min="5895" max="5898" width="12.6640625" customWidth="1"/>
    <col min="6144" max="6144" width="1.1640625" customWidth="1"/>
    <col min="6145" max="6145" width="12.6640625" customWidth="1"/>
    <col min="6146" max="6148" width="11" customWidth="1"/>
    <col min="6149" max="6149" width="12.6640625" customWidth="1"/>
    <col min="6150" max="6150" width="15.6640625" bestFit="1" customWidth="1"/>
    <col min="6151" max="6154" width="12.6640625" customWidth="1"/>
    <col min="6400" max="6400" width="1.1640625" customWidth="1"/>
    <col min="6401" max="6401" width="12.6640625" customWidth="1"/>
    <col min="6402" max="6404" width="11" customWidth="1"/>
    <col min="6405" max="6405" width="12.6640625" customWidth="1"/>
    <col min="6406" max="6406" width="15.6640625" bestFit="1" customWidth="1"/>
    <col min="6407" max="6410" width="12.6640625" customWidth="1"/>
    <col min="6656" max="6656" width="1.1640625" customWidth="1"/>
    <col min="6657" max="6657" width="12.6640625" customWidth="1"/>
    <col min="6658" max="6660" width="11" customWidth="1"/>
    <col min="6661" max="6661" width="12.6640625" customWidth="1"/>
    <col min="6662" max="6662" width="15.6640625" bestFit="1" customWidth="1"/>
    <col min="6663" max="6666" width="12.6640625" customWidth="1"/>
    <col min="6912" max="6912" width="1.1640625" customWidth="1"/>
    <col min="6913" max="6913" width="12.6640625" customWidth="1"/>
    <col min="6914" max="6916" width="11" customWidth="1"/>
    <col min="6917" max="6917" width="12.6640625" customWidth="1"/>
    <col min="6918" max="6918" width="15.6640625" bestFit="1" customWidth="1"/>
    <col min="6919" max="6922" width="12.6640625" customWidth="1"/>
    <col min="7168" max="7168" width="1.1640625" customWidth="1"/>
    <col min="7169" max="7169" width="12.6640625" customWidth="1"/>
    <col min="7170" max="7172" width="11" customWidth="1"/>
    <col min="7173" max="7173" width="12.6640625" customWidth="1"/>
    <col min="7174" max="7174" width="15.6640625" bestFit="1" customWidth="1"/>
    <col min="7175" max="7178" width="12.6640625" customWidth="1"/>
    <col min="7424" max="7424" width="1.1640625" customWidth="1"/>
    <col min="7425" max="7425" width="12.6640625" customWidth="1"/>
    <col min="7426" max="7428" width="11" customWidth="1"/>
    <col min="7429" max="7429" width="12.6640625" customWidth="1"/>
    <col min="7430" max="7430" width="15.6640625" bestFit="1" customWidth="1"/>
    <col min="7431" max="7434" width="12.6640625" customWidth="1"/>
    <col min="7680" max="7680" width="1.1640625" customWidth="1"/>
    <col min="7681" max="7681" width="12.6640625" customWidth="1"/>
    <col min="7682" max="7684" width="11" customWidth="1"/>
    <col min="7685" max="7685" width="12.6640625" customWidth="1"/>
    <col min="7686" max="7686" width="15.6640625" bestFit="1" customWidth="1"/>
    <col min="7687" max="7690" width="12.6640625" customWidth="1"/>
    <col min="7936" max="7936" width="1.1640625" customWidth="1"/>
    <col min="7937" max="7937" width="12.6640625" customWidth="1"/>
    <col min="7938" max="7940" width="11" customWidth="1"/>
    <col min="7941" max="7941" width="12.6640625" customWidth="1"/>
    <col min="7942" max="7942" width="15.6640625" bestFit="1" customWidth="1"/>
    <col min="7943" max="7946" width="12.6640625" customWidth="1"/>
    <col min="8192" max="8192" width="1.1640625" customWidth="1"/>
    <col min="8193" max="8193" width="12.6640625" customWidth="1"/>
    <col min="8194" max="8196" width="11" customWidth="1"/>
    <col min="8197" max="8197" width="12.6640625" customWidth="1"/>
    <col min="8198" max="8198" width="15.6640625" bestFit="1" customWidth="1"/>
    <col min="8199" max="8202" width="12.6640625" customWidth="1"/>
    <col min="8448" max="8448" width="1.1640625" customWidth="1"/>
    <col min="8449" max="8449" width="12.6640625" customWidth="1"/>
    <col min="8450" max="8452" width="11" customWidth="1"/>
    <col min="8453" max="8453" width="12.6640625" customWidth="1"/>
    <col min="8454" max="8454" width="15.6640625" bestFit="1" customWidth="1"/>
    <col min="8455" max="8458" width="12.6640625" customWidth="1"/>
    <col min="8704" max="8704" width="1.1640625" customWidth="1"/>
    <col min="8705" max="8705" width="12.6640625" customWidth="1"/>
    <col min="8706" max="8708" width="11" customWidth="1"/>
    <col min="8709" max="8709" width="12.6640625" customWidth="1"/>
    <col min="8710" max="8710" width="15.6640625" bestFit="1" customWidth="1"/>
    <col min="8711" max="8714" width="12.6640625" customWidth="1"/>
    <col min="8960" max="8960" width="1.1640625" customWidth="1"/>
    <col min="8961" max="8961" width="12.6640625" customWidth="1"/>
    <col min="8962" max="8964" width="11" customWidth="1"/>
    <col min="8965" max="8965" width="12.6640625" customWidth="1"/>
    <col min="8966" max="8966" width="15.6640625" bestFit="1" customWidth="1"/>
    <col min="8967" max="8970" width="12.6640625" customWidth="1"/>
    <col min="9216" max="9216" width="1.1640625" customWidth="1"/>
    <col min="9217" max="9217" width="12.6640625" customWidth="1"/>
    <col min="9218" max="9220" width="11" customWidth="1"/>
    <col min="9221" max="9221" width="12.6640625" customWidth="1"/>
    <col min="9222" max="9222" width="15.6640625" bestFit="1" customWidth="1"/>
    <col min="9223" max="9226" width="12.6640625" customWidth="1"/>
    <col min="9472" max="9472" width="1.1640625" customWidth="1"/>
    <col min="9473" max="9473" width="12.6640625" customWidth="1"/>
    <col min="9474" max="9476" width="11" customWidth="1"/>
    <col min="9477" max="9477" width="12.6640625" customWidth="1"/>
    <col min="9478" max="9478" width="15.6640625" bestFit="1" customWidth="1"/>
    <col min="9479" max="9482" width="12.6640625" customWidth="1"/>
    <col min="9728" max="9728" width="1.1640625" customWidth="1"/>
    <col min="9729" max="9729" width="12.6640625" customWidth="1"/>
    <col min="9730" max="9732" width="11" customWidth="1"/>
    <col min="9733" max="9733" width="12.6640625" customWidth="1"/>
    <col min="9734" max="9734" width="15.6640625" bestFit="1" customWidth="1"/>
    <col min="9735" max="9738" width="12.6640625" customWidth="1"/>
    <col min="9984" max="9984" width="1.1640625" customWidth="1"/>
    <col min="9985" max="9985" width="12.6640625" customWidth="1"/>
    <col min="9986" max="9988" width="11" customWidth="1"/>
    <col min="9989" max="9989" width="12.6640625" customWidth="1"/>
    <col min="9990" max="9990" width="15.6640625" bestFit="1" customWidth="1"/>
    <col min="9991" max="9994" width="12.6640625" customWidth="1"/>
    <col min="10240" max="10240" width="1.1640625" customWidth="1"/>
    <col min="10241" max="10241" width="12.6640625" customWidth="1"/>
    <col min="10242" max="10244" width="11" customWidth="1"/>
    <col min="10245" max="10245" width="12.6640625" customWidth="1"/>
    <col min="10246" max="10246" width="15.6640625" bestFit="1" customWidth="1"/>
    <col min="10247" max="10250" width="12.6640625" customWidth="1"/>
    <col min="10496" max="10496" width="1.1640625" customWidth="1"/>
    <col min="10497" max="10497" width="12.6640625" customWidth="1"/>
    <col min="10498" max="10500" width="11" customWidth="1"/>
    <col min="10501" max="10501" width="12.6640625" customWidth="1"/>
    <col min="10502" max="10502" width="15.6640625" bestFit="1" customWidth="1"/>
    <col min="10503" max="10506" width="12.6640625" customWidth="1"/>
    <col min="10752" max="10752" width="1.1640625" customWidth="1"/>
    <col min="10753" max="10753" width="12.6640625" customWidth="1"/>
    <col min="10754" max="10756" width="11" customWidth="1"/>
    <col min="10757" max="10757" width="12.6640625" customWidth="1"/>
    <col min="10758" max="10758" width="15.6640625" bestFit="1" customWidth="1"/>
    <col min="10759" max="10762" width="12.6640625" customWidth="1"/>
    <col min="11008" max="11008" width="1.1640625" customWidth="1"/>
    <col min="11009" max="11009" width="12.6640625" customWidth="1"/>
    <col min="11010" max="11012" width="11" customWidth="1"/>
    <col min="11013" max="11013" width="12.6640625" customWidth="1"/>
    <col min="11014" max="11014" width="15.6640625" bestFit="1" customWidth="1"/>
    <col min="11015" max="11018" width="12.6640625" customWidth="1"/>
    <col min="11264" max="11264" width="1.1640625" customWidth="1"/>
    <col min="11265" max="11265" width="12.6640625" customWidth="1"/>
    <col min="11266" max="11268" width="11" customWidth="1"/>
    <col min="11269" max="11269" width="12.6640625" customWidth="1"/>
    <col min="11270" max="11270" width="15.6640625" bestFit="1" customWidth="1"/>
    <col min="11271" max="11274" width="12.6640625" customWidth="1"/>
    <col min="11520" max="11520" width="1.1640625" customWidth="1"/>
    <col min="11521" max="11521" width="12.6640625" customWidth="1"/>
    <col min="11522" max="11524" width="11" customWidth="1"/>
    <col min="11525" max="11525" width="12.6640625" customWidth="1"/>
    <col min="11526" max="11526" width="15.6640625" bestFit="1" customWidth="1"/>
    <col min="11527" max="11530" width="12.6640625" customWidth="1"/>
    <col min="11776" max="11776" width="1.1640625" customWidth="1"/>
    <col min="11777" max="11777" width="12.6640625" customWidth="1"/>
    <col min="11778" max="11780" width="11" customWidth="1"/>
    <col min="11781" max="11781" width="12.6640625" customWidth="1"/>
    <col min="11782" max="11782" width="15.6640625" bestFit="1" customWidth="1"/>
    <col min="11783" max="11786" width="12.6640625" customWidth="1"/>
    <col min="12032" max="12032" width="1.1640625" customWidth="1"/>
    <col min="12033" max="12033" width="12.6640625" customWidth="1"/>
    <col min="12034" max="12036" width="11" customWidth="1"/>
    <col min="12037" max="12037" width="12.6640625" customWidth="1"/>
    <col min="12038" max="12038" width="15.6640625" bestFit="1" customWidth="1"/>
    <col min="12039" max="12042" width="12.6640625" customWidth="1"/>
    <col min="12288" max="12288" width="1.1640625" customWidth="1"/>
    <col min="12289" max="12289" width="12.6640625" customWidth="1"/>
    <col min="12290" max="12292" width="11" customWidth="1"/>
    <col min="12293" max="12293" width="12.6640625" customWidth="1"/>
    <col min="12294" max="12294" width="15.6640625" bestFit="1" customWidth="1"/>
    <col min="12295" max="12298" width="12.6640625" customWidth="1"/>
    <col min="12544" max="12544" width="1.1640625" customWidth="1"/>
    <col min="12545" max="12545" width="12.6640625" customWidth="1"/>
    <col min="12546" max="12548" width="11" customWidth="1"/>
    <col min="12549" max="12549" width="12.6640625" customWidth="1"/>
    <col min="12550" max="12550" width="15.6640625" bestFit="1" customWidth="1"/>
    <col min="12551" max="12554" width="12.6640625" customWidth="1"/>
    <col min="12800" max="12800" width="1.1640625" customWidth="1"/>
    <col min="12801" max="12801" width="12.6640625" customWidth="1"/>
    <col min="12802" max="12804" width="11" customWidth="1"/>
    <col min="12805" max="12805" width="12.6640625" customWidth="1"/>
    <col min="12806" max="12806" width="15.6640625" bestFit="1" customWidth="1"/>
    <col min="12807" max="12810" width="12.6640625" customWidth="1"/>
    <col min="13056" max="13056" width="1.1640625" customWidth="1"/>
    <col min="13057" max="13057" width="12.6640625" customWidth="1"/>
    <col min="13058" max="13060" width="11" customWidth="1"/>
    <col min="13061" max="13061" width="12.6640625" customWidth="1"/>
    <col min="13062" max="13062" width="15.6640625" bestFit="1" customWidth="1"/>
    <col min="13063" max="13066" width="12.6640625" customWidth="1"/>
    <col min="13312" max="13312" width="1.1640625" customWidth="1"/>
    <col min="13313" max="13313" width="12.6640625" customWidth="1"/>
    <col min="13314" max="13316" width="11" customWidth="1"/>
    <col min="13317" max="13317" width="12.6640625" customWidth="1"/>
    <col min="13318" max="13318" width="15.6640625" bestFit="1" customWidth="1"/>
    <col min="13319" max="13322" width="12.6640625" customWidth="1"/>
    <col min="13568" max="13568" width="1.1640625" customWidth="1"/>
    <col min="13569" max="13569" width="12.6640625" customWidth="1"/>
    <col min="13570" max="13572" width="11" customWidth="1"/>
    <col min="13573" max="13573" width="12.6640625" customWidth="1"/>
    <col min="13574" max="13574" width="15.6640625" bestFit="1" customWidth="1"/>
    <col min="13575" max="13578" width="12.6640625" customWidth="1"/>
    <col min="13824" max="13824" width="1.1640625" customWidth="1"/>
    <col min="13825" max="13825" width="12.6640625" customWidth="1"/>
    <col min="13826" max="13828" width="11" customWidth="1"/>
    <col min="13829" max="13829" width="12.6640625" customWidth="1"/>
    <col min="13830" max="13830" width="15.6640625" bestFit="1" customWidth="1"/>
    <col min="13831" max="13834" width="12.6640625" customWidth="1"/>
    <col min="14080" max="14080" width="1.1640625" customWidth="1"/>
    <col min="14081" max="14081" width="12.6640625" customWidth="1"/>
    <col min="14082" max="14084" width="11" customWidth="1"/>
    <col min="14085" max="14085" width="12.6640625" customWidth="1"/>
    <col min="14086" max="14086" width="15.6640625" bestFit="1" customWidth="1"/>
    <col min="14087" max="14090" width="12.6640625" customWidth="1"/>
    <col min="14336" max="14336" width="1.1640625" customWidth="1"/>
    <col min="14337" max="14337" width="12.6640625" customWidth="1"/>
    <col min="14338" max="14340" width="11" customWidth="1"/>
    <col min="14341" max="14341" width="12.6640625" customWidth="1"/>
    <col min="14342" max="14342" width="15.6640625" bestFit="1" customWidth="1"/>
    <col min="14343" max="14346" width="12.6640625" customWidth="1"/>
    <col min="14592" max="14592" width="1.1640625" customWidth="1"/>
    <col min="14593" max="14593" width="12.6640625" customWidth="1"/>
    <col min="14594" max="14596" width="11" customWidth="1"/>
    <col min="14597" max="14597" width="12.6640625" customWidth="1"/>
    <col min="14598" max="14598" width="15.6640625" bestFit="1" customWidth="1"/>
    <col min="14599" max="14602" width="12.6640625" customWidth="1"/>
    <col min="14848" max="14848" width="1.1640625" customWidth="1"/>
    <col min="14849" max="14849" width="12.6640625" customWidth="1"/>
    <col min="14850" max="14852" width="11" customWidth="1"/>
    <col min="14853" max="14853" width="12.6640625" customWidth="1"/>
    <col min="14854" max="14854" width="15.6640625" bestFit="1" customWidth="1"/>
    <col min="14855" max="14858" width="12.6640625" customWidth="1"/>
    <col min="15104" max="15104" width="1.1640625" customWidth="1"/>
    <col min="15105" max="15105" width="12.6640625" customWidth="1"/>
    <col min="15106" max="15108" width="11" customWidth="1"/>
    <col min="15109" max="15109" width="12.6640625" customWidth="1"/>
    <col min="15110" max="15110" width="15.6640625" bestFit="1" customWidth="1"/>
    <col min="15111" max="15114" width="12.6640625" customWidth="1"/>
    <col min="15360" max="15360" width="1.1640625" customWidth="1"/>
    <col min="15361" max="15361" width="12.6640625" customWidth="1"/>
    <col min="15362" max="15364" width="11" customWidth="1"/>
    <col min="15365" max="15365" width="12.6640625" customWidth="1"/>
    <col min="15366" max="15366" width="15.6640625" bestFit="1" customWidth="1"/>
    <col min="15367" max="15370" width="12.6640625" customWidth="1"/>
    <col min="15616" max="15616" width="1.1640625" customWidth="1"/>
    <col min="15617" max="15617" width="12.6640625" customWidth="1"/>
    <col min="15618" max="15620" width="11" customWidth="1"/>
    <col min="15621" max="15621" width="12.6640625" customWidth="1"/>
    <col min="15622" max="15622" width="15.6640625" bestFit="1" customWidth="1"/>
    <col min="15623" max="15626" width="12.6640625" customWidth="1"/>
    <col min="15872" max="15872" width="1.1640625" customWidth="1"/>
    <col min="15873" max="15873" width="12.6640625" customWidth="1"/>
    <col min="15874" max="15876" width="11" customWidth="1"/>
    <col min="15877" max="15877" width="12.6640625" customWidth="1"/>
    <col min="15878" max="15878" width="15.6640625" bestFit="1" customWidth="1"/>
    <col min="15879" max="15882" width="12.6640625" customWidth="1"/>
    <col min="16128" max="16128" width="1.1640625" customWidth="1"/>
    <col min="16129" max="16129" width="12.6640625" customWidth="1"/>
    <col min="16130" max="16132" width="11" customWidth="1"/>
    <col min="16133" max="16133" width="12.6640625" customWidth="1"/>
    <col min="16134" max="16134" width="15.6640625" bestFit="1" customWidth="1"/>
    <col min="16135" max="16138" width="12.6640625" customWidth="1"/>
  </cols>
  <sheetData>
    <row r="1" spans="1:15" s="23" customFormat="1" ht="41.25" customHeight="1" thickBot="1" x14ac:dyDescent="0.2"/>
    <row r="2" spans="1:15" ht="15" customHeight="1" thickBot="1" x14ac:dyDescent="0.2">
      <c r="A2" s="485" t="s">
        <v>149</v>
      </c>
      <c r="B2" s="486"/>
      <c r="C2" s="486"/>
      <c r="D2" s="486"/>
      <c r="E2" s="486"/>
      <c r="F2" s="486"/>
      <c r="G2" s="487"/>
      <c r="H2" s="8" t="s">
        <v>0</v>
      </c>
      <c r="I2" s="488"/>
      <c r="J2" s="489"/>
    </row>
    <row r="3" spans="1:15" ht="15" customHeight="1" x14ac:dyDescent="0.2">
      <c r="A3" s="705" t="s">
        <v>184</v>
      </c>
      <c r="B3" s="499" t="s">
        <v>150</v>
      </c>
      <c r="C3" s="500"/>
      <c r="D3" s="500"/>
      <c r="E3" s="500"/>
      <c r="F3" s="500"/>
      <c r="G3" s="495" t="s">
        <v>34</v>
      </c>
      <c r="H3" s="496"/>
      <c r="I3" s="497"/>
      <c r="J3" s="498"/>
    </row>
    <row r="4" spans="1:15" ht="15" customHeight="1" thickBot="1" x14ac:dyDescent="0.25">
      <c r="A4" s="706"/>
      <c r="B4" s="501"/>
      <c r="C4" s="502"/>
      <c r="D4" s="502"/>
      <c r="E4" s="502"/>
      <c r="F4" s="502"/>
      <c r="G4" s="492" t="s">
        <v>35</v>
      </c>
      <c r="H4" s="493"/>
      <c r="I4" s="493" t="s">
        <v>36</v>
      </c>
      <c r="J4" s="494"/>
    </row>
    <row r="5" spans="1:15" ht="35.25" customHeight="1" thickBot="1" x14ac:dyDescent="0.25">
      <c r="A5" s="706"/>
      <c r="B5" s="358" t="s">
        <v>27</v>
      </c>
      <c r="C5" s="359" t="s">
        <v>28</v>
      </c>
      <c r="D5" s="359" t="s">
        <v>6</v>
      </c>
      <c r="E5" s="359" t="s">
        <v>29</v>
      </c>
      <c r="F5" s="388" t="s">
        <v>30</v>
      </c>
      <c r="G5" s="389" t="s">
        <v>32</v>
      </c>
      <c r="H5" s="59" t="s">
        <v>33</v>
      </c>
      <c r="I5" s="59" t="s">
        <v>33</v>
      </c>
      <c r="J5" s="60" t="s">
        <v>32</v>
      </c>
    </row>
    <row r="6" spans="1:15" ht="15" customHeight="1" x14ac:dyDescent="0.2">
      <c r="A6" s="422">
        <v>9.5</v>
      </c>
      <c r="B6" s="391"/>
      <c r="C6" s="392"/>
      <c r="D6" s="393">
        <f>(B6+C6)/2</f>
        <v>0</v>
      </c>
      <c r="E6" s="13">
        <f>D6/$D$16*100</f>
        <v>0</v>
      </c>
      <c r="F6" s="394">
        <f>E6</f>
        <v>0</v>
      </c>
      <c r="G6" s="395">
        <v>0</v>
      </c>
      <c r="H6" s="396">
        <v>0</v>
      </c>
      <c r="I6" s="397">
        <v>0</v>
      </c>
      <c r="J6" s="396">
        <v>0</v>
      </c>
      <c r="K6" s="352"/>
      <c r="L6" s="353"/>
      <c r="M6" s="353"/>
      <c r="N6" s="353"/>
      <c r="O6" s="353"/>
    </row>
    <row r="7" spans="1:15" ht="15" customHeight="1" x14ac:dyDescent="0.2">
      <c r="A7" s="423">
        <v>6.3</v>
      </c>
      <c r="B7" s="391"/>
      <c r="C7" s="392"/>
      <c r="D7" s="398">
        <f t="shared" ref="D7:D15" si="0">(B7+C7)/2</f>
        <v>0</v>
      </c>
      <c r="E7" s="18">
        <f t="shared" ref="E7:E15" si="1">D7/$D$16*100</f>
        <v>0</v>
      </c>
      <c r="F7" s="399">
        <f>F6+E7</f>
        <v>0</v>
      </c>
      <c r="G7" s="400">
        <v>0</v>
      </c>
      <c r="H7" s="401">
        <v>0</v>
      </c>
      <c r="I7" s="402">
        <v>0</v>
      </c>
      <c r="J7" s="401">
        <v>7</v>
      </c>
      <c r="K7" s="352"/>
      <c r="L7" s="353"/>
      <c r="M7" s="353"/>
      <c r="N7" s="353"/>
      <c r="O7" s="353"/>
    </row>
    <row r="8" spans="1:15" ht="15" customHeight="1" x14ac:dyDescent="0.2">
      <c r="A8" s="424">
        <v>4.8</v>
      </c>
      <c r="B8" s="403">
        <v>6</v>
      </c>
      <c r="C8" s="404">
        <v>9</v>
      </c>
      <c r="D8" s="398">
        <f t="shared" si="0"/>
        <v>7.5</v>
      </c>
      <c r="E8" s="18">
        <f t="shared" si="1"/>
        <v>1.2931034482758621</v>
      </c>
      <c r="F8" s="399">
        <f t="shared" ref="F8:F15" si="2">F7+E8</f>
        <v>1.2931034482758621</v>
      </c>
      <c r="G8" s="400">
        <v>0</v>
      </c>
      <c r="H8" s="401">
        <v>0</v>
      </c>
      <c r="I8" s="402">
        <v>5</v>
      </c>
      <c r="J8" s="401">
        <v>10</v>
      </c>
      <c r="K8" s="352"/>
      <c r="L8" s="353"/>
      <c r="M8" s="353"/>
      <c r="N8" s="353"/>
      <c r="O8" s="353"/>
    </row>
    <row r="9" spans="1:15" ht="15" customHeight="1" x14ac:dyDescent="0.2">
      <c r="A9" s="424">
        <v>2.4</v>
      </c>
      <c r="B9" s="403">
        <v>52</v>
      </c>
      <c r="C9" s="404">
        <v>54</v>
      </c>
      <c r="D9" s="398">
        <f t="shared" si="0"/>
        <v>53</v>
      </c>
      <c r="E9" s="18">
        <f t="shared" si="1"/>
        <v>9.137931034482758</v>
      </c>
      <c r="F9" s="399">
        <f t="shared" si="2"/>
        <v>10.431034482758619</v>
      </c>
      <c r="G9" s="400">
        <v>0</v>
      </c>
      <c r="H9" s="401">
        <v>10</v>
      </c>
      <c r="I9" s="402">
        <v>20</v>
      </c>
      <c r="J9" s="405">
        <v>25</v>
      </c>
      <c r="K9" s="352"/>
      <c r="L9" s="353"/>
      <c r="M9" s="353"/>
      <c r="N9" s="353"/>
      <c r="O9" s="354"/>
    </row>
    <row r="10" spans="1:15" ht="15" customHeight="1" x14ac:dyDescent="0.2">
      <c r="A10" s="424">
        <v>1.2</v>
      </c>
      <c r="B10" s="403">
        <v>98</v>
      </c>
      <c r="C10" s="404">
        <v>105</v>
      </c>
      <c r="D10" s="398">
        <f t="shared" si="0"/>
        <v>101.5</v>
      </c>
      <c r="E10" s="18">
        <f t="shared" si="1"/>
        <v>17.5</v>
      </c>
      <c r="F10" s="399">
        <f t="shared" si="2"/>
        <v>27.931034482758619</v>
      </c>
      <c r="G10" s="400">
        <v>5</v>
      </c>
      <c r="H10" s="401">
        <v>20</v>
      </c>
      <c r="I10" s="406">
        <v>30</v>
      </c>
      <c r="J10" s="405">
        <v>50</v>
      </c>
      <c r="K10" s="352"/>
      <c r="L10" s="353"/>
      <c r="M10" s="353"/>
      <c r="N10" s="354"/>
      <c r="O10" s="354"/>
    </row>
    <row r="11" spans="1:15" ht="15" customHeight="1" x14ac:dyDescent="0.2">
      <c r="A11" s="424">
        <v>0.6</v>
      </c>
      <c r="B11" s="403">
        <v>107</v>
      </c>
      <c r="C11" s="404">
        <v>99</v>
      </c>
      <c r="D11" s="398">
        <f t="shared" si="0"/>
        <v>103</v>
      </c>
      <c r="E11" s="18">
        <f t="shared" si="1"/>
        <v>17.758620689655171</v>
      </c>
      <c r="F11" s="399">
        <f t="shared" si="2"/>
        <v>45.689655172413794</v>
      </c>
      <c r="G11" s="400">
        <v>15</v>
      </c>
      <c r="H11" s="401">
        <v>35</v>
      </c>
      <c r="I11" s="406">
        <v>55</v>
      </c>
      <c r="J11" s="405">
        <v>70</v>
      </c>
      <c r="K11" s="352"/>
      <c r="L11" s="353"/>
      <c r="M11" s="353"/>
      <c r="N11" s="354"/>
      <c r="O11" s="354"/>
    </row>
    <row r="12" spans="1:15" ht="15" customHeight="1" x14ac:dyDescent="0.2">
      <c r="A12" s="424">
        <v>0.3</v>
      </c>
      <c r="B12" s="403">
        <v>215</v>
      </c>
      <c r="C12" s="404">
        <v>203</v>
      </c>
      <c r="D12" s="398">
        <f t="shared" si="0"/>
        <v>209</v>
      </c>
      <c r="E12" s="18">
        <f t="shared" si="1"/>
        <v>36.03448275862069</v>
      </c>
      <c r="F12" s="399">
        <f t="shared" si="2"/>
        <v>81.724137931034477</v>
      </c>
      <c r="G12" s="400">
        <v>50</v>
      </c>
      <c r="H12" s="401">
        <v>65</v>
      </c>
      <c r="I12" s="406">
        <v>85</v>
      </c>
      <c r="J12" s="405">
        <v>95</v>
      </c>
      <c r="K12" s="352"/>
      <c r="L12" s="353"/>
      <c r="M12" s="353"/>
      <c r="N12" s="354"/>
      <c r="O12" s="354"/>
    </row>
    <row r="13" spans="1:15" ht="15" customHeight="1" x14ac:dyDescent="0.2">
      <c r="A13" s="424">
        <v>0.15</v>
      </c>
      <c r="B13" s="403">
        <v>86</v>
      </c>
      <c r="C13" s="404">
        <v>103</v>
      </c>
      <c r="D13" s="398">
        <f t="shared" si="0"/>
        <v>94.5</v>
      </c>
      <c r="E13" s="18">
        <f>D13/$D$16*100</f>
        <v>16.293103448275861</v>
      </c>
      <c r="F13" s="399">
        <f t="shared" si="2"/>
        <v>98.017241379310335</v>
      </c>
      <c r="G13" s="400">
        <v>85</v>
      </c>
      <c r="H13" s="401">
        <v>90</v>
      </c>
      <c r="I13" s="406">
        <v>95</v>
      </c>
      <c r="J13" s="405">
        <v>100</v>
      </c>
      <c r="K13" s="352"/>
      <c r="L13" s="353"/>
      <c r="M13" s="353"/>
      <c r="N13" s="354"/>
      <c r="O13" s="354"/>
    </row>
    <row r="14" spans="1:15" ht="15" customHeight="1" x14ac:dyDescent="0.2">
      <c r="A14" s="390">
        <v>7.4999999999999997E-2</v>
      </c>
      <c r="B14" s="407">
        <v>13</v>
      </c>
      <c r="C14" s="408">
        <v>6</v>
      </c>
      <c r="D14" s="398">
        <f t="shared" si="0"/>
        <v>9.5</v>
      </c>
      <c r="E14" s="18">
        <f t="shared" si="1"/>
        <v>1.6379310344827587</v>
      </c>
      <c r="F14" s="399">
        <f>F13+E14</f>
        <v>99.655172413793096</v>
      </c>
      <c r="G14" s="409">
        <v>100</v>
      </c>
      <c r="H14" s="410">
        <v>100</v>
      </c>
      <c r="I14" s="411">
        <v>100</v>
      </c>
      <c r="J14" s="412">
        <v>100</v>
      </c>
      <c r="K14" s="352"/>
      <c r="L14" s="353"/>
      <c r="M14" s="353"/>
      <c r="N14" s="354"/>
      <c r="O14" s="354"/>
    </row>
    <row r="15" spans="1:15" ht="15" customHeight="1" x14ac:dyDescent="0.2">
      <c r="A15" s="390">
        <v>3.7499999999999999E-2</v>
      </c>
      <c r="B15" s="407">
        <v>3</v>
      </c>
      <c r="C15" s="408">
        <v>1</v>
      </c>
      <c r="D15" s="398">
        <f t="shared" si="0"/>
        <v>2</v>
      </c>
      <c r="E15" s="18">
        <f t="shared" si="1"/>
        <v>0.34482758620689657</v>
      </c>
      <c r="F15" s="399">
        <f t="shared" si="2"/>
        <v>99.999999999999986</v>
      </c>
      <c r="G15" s="409">
        <v>100</v>
      </c>
      <c r="H15" s="410">
        <v>100</v>
      </c>
      <c r="I15" s="413">
        <v>100</v>
      </c>
      <c r="J15" s="410">
        <v>100</v>
      </c>
      <c r="K15" s="355"/>
      <c r="L15" s="267"/>
      <c r="M15" s="267"/>
      <c r="N15" s="267"/>
      <c r="O15" s="267"/>
    </row>
    <row r="16" spans="1:15" ht="15" customHeight="1" thickBot="1" x14ac:dyDescent="0.25">
      <c r="A16" s="356"/>
      <c r="B16" s="414">
        <f>SUM(B6:B15)</f>
        <v>580</v>
      </c>
      <c r="C16" s="415">
        <f>SUM(C6:C15)</f>
        <v>580</v>
      </c>
      <c r="D16" s="415">
        <f>SUM(D6:D15)</f>
        <v>580</v>
      </c>
      <c r="E16" s="416">
        <f>SUM(E6:E15)</f>
        <v>99.999999999999986</v>
      </c>
      <c r="F16" s="417"/>
      <c r="G16" s="418">
        <v>100</v>
      </c>
      <c r="H16" s="419">
        <v>100</v>
      </c>
      <c r="I16" s="420">
        <v>100</v>
      </c>
      <c r="J16" s="419">
        <v>100</v>
      </c>
    </row>
    <row r="17" spans="1:12" ht="15" thickBot="1" x14ac:dyDescent="0.2">
      <c r="A17" s="357" t="s">
        <v>7</v>
      </c>
      <c r="B17" s="490">
        <f>(F6+F8+F9+F10+F11+F12+F13)/100</f>
        <v>2.6508620689655169</v>
      </c>
      <c r="C17" s="491"/>
      <c r="G17" s="421">
        <f>(G6+G8+G9+G10+G11+G12+G13)/100</f>
        <v>1.55</v>
      </c>
      <c r="H17" s="421">
        <f>(H6+H8+H9+H10+H11+H12+H13)/100</f>
        <v>2.2000000000000002</v>
      </c>
      <c r="I17" s="421">
        <f>(I6+I8+I9+I10+I11+I12+I13)/100</f>
        <v>2.9</v>
      </c>
      <c r="J17" s="421">
        <f>(J6+J8+J9+J10+J11+J12+J13)/100</f>
        <v>3.5</v>
      </c>
    </row>
    <row r="18" spans="1:12" ht="14" customHeight="1" x14ac:dyDescent="0.15"/>
    <row r="19" spans="1:12" ht="14" customHeight="1" x14ac:dyDescent="0.15"/>
    <row r="20" spans="1:12" ht="14" customHeight="1" x14ac:dyDescent="0.15"/>
    <row r="21" spans="1:12" ht="14" customHeight="1" x14ac:dyDescent="0.15"/>
    <row r="22" spans="1:12" ht="14" customHeight="1" x14ac:dyDescent="0.15"/>
    <row r="23" spans="1:12" ht="14" customHeight="1" x14ac:dyDescent="0.15"/>
    <row r="24" spans="1:12" ht="14" customHeight="1" x14ac:dyDescent="0.15"/>
    <row r="25" spans="1:12" ht="14" customHeight="1" x14ac:dyDescent="0.15"/>
    <row r="26" spans="1:12" ht="14" customHeight="1" x14ac:dyDescent="0.15"/>
    <row r="27" spans="1:12" ht="14" customHeight="1" x14ac:dyDescent="0.15"/>
    <row r="28" spans="1:12" ht="14" customHeight="1" x14ac:dyDescent="0.15"/>
    <row r="29" spans="1:12" ht="14" customHeight="1" x14ac:dyDescent="0.15"/>
    <row r="30" spans="1:12" ht="14" customHeight="1" x14ac:dyDescent="0.15"/>
    <row r="31" spans="1:12" ht="14" customHeight="1" x14ac:dyDescent="0.15"/>
    <row r="32" spans="1:12" ht="14" customHeight="1" x14ac:dyDescent="0.15">
      <c r="L32" t="s">
        <v>4</v>
      </c>
    </row>
    <row r="33" spans="12:13" ht="14" customHeight="1" x14ac:dyDescent="0.15">
      <c r="L33" s="2"/>
    </row>
    <row r="34" spans="12:13" ht="14" customHeight="1" x14ac:dyDescent="0.15"/>
    <row r="35" spans="12:13" ht="14" customHeight="1" x14ac:dyDescent="0.15"/>
    <row r="36" spans="12:13" ht="14" customHeight="1" x14ac:dyDescent="0.15"/>
    <row r="37" spans="12:13" ht="14" customHeight="1" x14ac:dyDescent="0.15"/>
    <row r="38" spans="12:13" ht="14" customHeight="1" x14ac:dyDescent="0.15"/>
    <row r="39" spans="12:13" ht="14" customHeight="1" x14ac:dyDescent="0.15"/>
    <row r="40" spans="12:13" ht="14" customHeight="1" x14ac:dyDescent="0.15"/>
    <row r="41" spans="12:13" ht="18" customHeight="1" x14ac:dyDescent="0.15">
      <c r="M41" t="s">
        <v>4</v>
      </c>
    </row>
    <row r="42" spans="12:13" ht="18" customHeight="1" x14ac:dyDescent="0.15"/>
    <row r="43" spans="12:13" ht="18" customHeight="1" x14ac:dyDescent="0.15"/>
    <row r="44" spans="12:13" ht="18" customHeight="1" x14ac:dyDescent="0.15"/>
    <row r="45" spans="12:13" ht="18" customHeight="1" x14ac:dyDescent="0.15"/>
    <row r="46" spans="12:13" ht="18" customHeight="1" x14ac:dyDescent="0.15"/>
  </sheetData>
  <mergeCells count="8">
    <mergeCell ref="A2:G2"/>
    <mergeCell ref="I2:J2"/>
    <mergeCell ref="A3:A5"/>
    <mergeCell ref="B17:C17"/>
    <mergeCell ref="G4:H4"/>
    <mergeCell ref="I4:J4"/>
    <mergeCell ref="G3:J3"/>
    <mergeCell ref="B3:F4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&amp;C&amp;1#&amp;"Calibri"&amp;10&amp;KFF0000This content is Confidential.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1">
    <tabColor rgb="FFFFC000"/>
  </sheetPr>
  <dimension ref="A1:X48"/>
  <sheetViews>
    <sheetView showGridLines="0" zoomScale="80" zoomScaleNormal="80" zoomScaleSheetLayoutView="75" workbookViewId="0">
      <pane xSplit="1" ySplit="5" topLeftCell="B6" activePane="bottomRight" state="frozen"/>
      <selection activeCell="AD7" sqref="AD7"/>
      <selection pane="topRight" activeCell="AD7" sqref="AD7"/>
      <selection pane="bottomLeft" activeCell="AD7" sqref="AD7"/>
      <selection pane="bottomRight" sqref="A1:A1048576"/>
    </sheetView>
  </sheetViews>
  <sheetFormatPr baseColWidth="10" defaultColWidth="8.83203125" defaultRowHeight="13" x14ac:dyDescent="0.15"/>
  <cols>
    <col min="1" max="1" width="12.6640625" customWidth="1"/>
    <col min="2" max="13" width="8.6640625" customWidth="1"/>
    <col min="14" max="14" width="10.6640625" customWidth="1"/>
    <col min="15" max="18" width="8.6640625" customWidth="1"/>
  </cols>
  <sheetData>
    <row r="1" spans="1:24" s="23" customFormat="1" ht="41.25" customHeight="1" thickBot="1" x14ac:dyDescent="0.2"/>
    <row r="2" spans="1:24" ht="15" customHeight="1" thickBot="1" x14ac:dyDescent="0.2">
      <c r="A2" s="485" t="s">
        <v>2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7"/>
      <c r="P2" s="8" t="s">
        <v>0</v>
      </c>
      <c r="Q2" s="488"/>
      <c r="R2" s="489"/>
    </row>
    <row r="3" spans="1:24" ht="15" customHeight="1" x14ac:dyDescent="0.2">
      <c r="A3" s="705" t="s">
        <v>184</v>
      </c>
      <c r="B3" s="499" t="s">
        <v>5</v>
      </c>
      <c r="C3" s="515"/>
      <c r="D3" s="515"/>
      <c r="E3" s="515"/>
      <c r="F3" s="515"/>
      <c r="G3" s="516"/>
      <c r="H3" s="499" t="s">
        <v>37</v>
      </c>
      <c r="I3" s="515"/>
      <c r="J3" s="515"/>
      <c r="K3" s="515"/>
      <c r="L3" s="515"/>
      <c r="M3" s="516"/>
      <c r="N3" s="512" t="s">
        <v>34</v>
      </c>
      <c r="O3" s="513"/>
      <c r="P3" s="513"/>
      <c r="Q3" s="513"/>
      <c r="R3" s="514"/>
    </row>
    <row r="4" spans="1:24" ht="15" customHeight="1" thickBot="1" x14ac:dyDescent="0.25">
      <c r="A4" s="706"/>
      <c r="B4" s="501"/>
      <c r="C4" s="502"/>
      <c r="D4" s="502"/>
      <c r="E4" s="502"/>
      <c r="F4" s="502"/>
      <c r="G4" s="517"/>
      <c r="H4" s="501"/>
      <c r="I4" s="502"/>
      <c r="J4" s="502"/>
      <c r="K4" s="502"/>
      <c r="L4" s="502"/>
      <c r="M4" s="517"/>
      <c r="N4" s="511" t="s">
        <v>3</v>
      </c>
      <c r="O4" s="493" t="s">
        <v>35</v>
      </c>
      <c r="P4" s="493"/>
      <c r="Q4" s="493" t="s">
        <v>36</v>
      </c>
      <c r="R4" s="494"/>
    </row>
    <row r="5" spans="1:24" ht="35.25" customHeight="1" thickBot="1" x14ac:dyDescent="0.25">
      <c r="A5" s="706"/>
      <c r="B5" s="358" t="s">
        <v>27</v>
      </c>
      <c r="C5" s="359" t="s">
        <v>28</v>
      </c>
      <c r="D5" s="359" t="s">
        <v>6</v>
      </c>
      <c r="E5" s="359" t="s">
        <v>29</v>
      </c>
      <c r="F5" s="360" t="s">
        <v>30</v>
      </c>
      <c r="G5" s="361" t="s">
        <v>31</v>
      </c>
      <c r="H5" s="358" t="s">
        <v>27</v>
      </c>
      <c r="I5" s="359" t="s">
        <v>28</v>
      </c>
      <c r="J5" s="359" t="s">
        <v>6</v>
      </c>
      <c r="K5" s="359" t="s">
        <v>29</v>
      </c>
      <c r="L5" s="360" t="s">
        <v>30</v>
      </c>
      <c r="M5" s="361" t="s">
        <v>31</v>
      </c>
      <c r="N5" s="511"/>
      <c r="O5" s="59" t="s">
        <v>32</v>
      </c>
      <c r="P5" s="59" t="s">
        <v>33</v>
      </c>
      <c r="Q5" s="59" t="s">
        <v>33</v>
      </c>
      <c r="R5" s="60" t="s">
        <v>32</v>
      </c>
    </row>
    <row r="6" spans="1:24" ht="15" customHeight="1" x14ac:dyDescent="0.2">
      <c r="A6" s="424">
        <v>9.5</v>
      </c>
      <c r="B6" s="310"/>
      <c r="C6" s="311"/>
      <c r="D6" s="12">
        <f>(B6+C6)/2</f>
        <v>0</v>
      </c>
      <c r="E6" s="13">
        <f>D6/$D$16*100</f>
        <v>0</v>
      </c>
      <c r="F6" s="14">
        <f>E6</f>
        <v>0</v>
      </c>
      <c r="G6" s="15">
        <f t="shared" ref="G6:G15" si="0">(G$18*F6)/100</f>
        <v>0</v>
      </c>
      <c r="H6" s="310"/>
      <c r="I6" s="311"/>
      <c r="J6" s="12">
        <f>(H6+I6)/2</f>
        <v>0</v>
      </c>
      <c r="K6" s="13">
        <f>J6/$J$16*100</f>
        <v>0</v>
      </c>
      <c r="L6" s="14">
        <f>K6</f>
        <v>0</v>
      </c>
      <c r="M6" s="15">
        <f t="shared" ref="M6:M15" si="1">(M$18*L6)/100</f>
        <v>0</v>
      </c>
      <c r="N6" s="16">
        <f>(G6+M6)</f>
        <v>0</v>
      </c>
      <c r="O6" s="61">
        <v>0</v>
      </c>
      <c r="P6" s="61">
        <v>0</v>
      </c>
      <c r="Q6" s="61">
        <v>0</v>
      </c>
      <c r="R6" s="62">
        <v>0</v>
      </c>
      <c r="S6" s="3"/>
      <c r="T6" s="4"/>
      <c r="U6" s="4"/>
      <c r="V6" s="4"/>
      <c r="W6" s="4"/>
      <c r="X6" s="1"/>
    </row>
    <row r="7" spans="1:24" ht="15" customHeight="1" x14ac:dyDescent="0.2">
      <c r="A7" s="423">
        <v>6.3</v>
      </c>
      <c r="B7" s="310"/>
      <c r="C7" s="311"/>
      <c r="D7" s="17">
        <f t="shared" ref="D7:D15" si="2">(B7+C7)/2</f>
        <v>0</v>
      </c>
      <c r="E7" s="18">
        <f t="shared" ref="E7:E15" si="3">D7/$D$16*100</f>
        <v>0</v>
      </c>
      <c r="F7" s="19">
        <f>F6+E7</f>
        <v>0</v>
      </c>
      <c r="G7" s="20">
        <f t="shared" si="0"/>
        <v>0</v>
      </c>
      <c r="H7" s="310"/>
      <c r="I7" s="311"/>
      <c r="J7" s="17">
        <f t="shared" ref="J7:J15" si="4">(H7+I7)/2</f>
        <v>0</v>
      </c>
      <c r="K7" s="18">
        <f t="shared" ref="K7:K15" si="5">J7/$J$16*100</f>
        <v>0</v>
      </c>
      <c r="L7" s="19">
        <f>L6+K7</f>
        <v>0</v>
      </c>
      <c r="M7" s="20">
        <f t="shared" si="1"/>
        <v>0</v>
      </c>
      <c r="N7" s="16">
        <f t="shared" ref="N7:N15" si="6">(G7+M7)</f>
        <v>0</v>
      </c>
      <c r="O7" s="61">
        <v>0</v>
      </c>
      <c r="P7" s="61">
        <v>0</v>
      </c>
      <c r="Q7" s="61">
        <v>0</v>
      </c>
      <c r="R7" s="62">
        <v>7</v>
      </c>
      <c r="S7" s="3"/>
      <c r="T7" s="4"/>
      <c r="U7" s="4"/>
      <c r="V7" s="4"/>
      <c r="W7" s="4"/>
      <c r="X7" s="1"/>
    </row>
    <row r="8" spans="1:24" ht="15" customHeight="1" x14ac:dyDescent="0.2">
      <c r="A8" s="424">
        <v>4.8</v>
      </c>
      <c r="B8" s="312"/>
      <c r="C8" s="313"/>
      <c r="D8" s="17">
        <f t="shared" si="2"/>
        <v>0</v>
      </c>
      <c r="E8" s="18">
        <f t="shared" si="3"/>
        <v>0</v>
      </c>
      <c r="F8" s="19">
        <f t="shared" ref="F8:F15" si="7">F7+E8</f>
        <v>0</v>
      </c>
      <c r="G8" s="20">
        <f t="shared" si="0"/>
        <v>0</v>
      </c>
      <c r="H8" s="312">
        <v>6</v>
      </c>
      <c r="I8" s="313">
        <v>9</v>
      </c>
      <c r="J8" s="17">
        <f t="shared" si="4"/>
        <v>7.5</v>
      </c>
      <c r="K8" s="18">
        <f t="shared" si="5"/>
        <v>1.2931034482758621</v>
      </c>
      <c r="L8" s="19">
        <f t="shared" ref="L8:L13" si="8">L7+K8</f>
        <v>1.2931034482758621</v>
      </c>
      <c r="M8" s="20">
        <f t="shared" si="1"/>
        <v>0.96982758620689646</v>
      </c>
      <c r="N8" s="16">
        <f t="shared" si="6"/>
        <v>0.96982758620689646</v>
      </c>
      <c r="O8" s="61">
        <v>0</v>
      </c>
      <c r="P8" s="61">
        <v>0</v>
      </c>
      <c r="Q8" s="61">
        <v>5</v>
      </c>
      <c r="R8" s="62">
        <v>10</v>
      </c>
      <c r="S8" s="3"/>
      <c r="T8" s="4"/>
      <c r="U8" s="4"/>
      <c r="V8" s="4"/>
      <c r="W8" s="4"/>
      <c r="X8" s="1"/>
    </row>
    <row r="9" spans="1:24" ht="15" customHeight="1" x14ac:dyDescent="0.2">
      <c r="A9" s="424">
        <v>2.4</v>
      </c>
      <c r="B9" s="312"/>
      <c r="C9" s="313"/>
      <c r="D9" s="17">
        <f t="shared" si="2"/>
        <v>0</v>
      </c>
      <c r="E9" s="18">
        <f t="shared" si="3"/>
        <v>0</v>
      </c>
      <c r="F9" s="19">
        <f t="shared" si="7"/>
        <v>0</v>
      </c>
      <c r="G9" s="20">
        <f t="shared" si="0"/>
        <v>0</v>
      </c>
      <c r="H9" s="312">
        <v>52</v>
      </c>
      <c r="I9" s="313">
        <v>54</v>
      </c>
      <c r="J9" s="17">
        <f t="shared" si="4"/>
        <v>53</v>
      </c>
      <c r="K9" s="18">
        <f t="shared" si="5"/>
        <v>9.137931034482758</v>
      </c>
      <c r="L9" s="19">
        <f t="shared" si="8"/>
        <v>10.431034482758619</v>
      </c>
      <c r="M9" s="20">
        <f t="shared" si="1"/>
        <v>7.8232758620689644</v>
      </c>
      <c r="N9" s="16">
        <f>(G9+M9)</f>
        <v>7.8232758620689644</v>
      </c>
      <c r="O9" s="61">
        <v>0</v>
      </c>
      <c r="P9" s="61">
        <v>10</v>
      </c>
      <c r="Q9" s="61">
        <v>20</v>
      </c>
      <c r="R9" s="63">
        <v>25</v>
      </c>
      <c r="S9" s="3"/>
      <c r="T9" s="4"/>
      <c r="U9" s="4"/>
      <c r="V9" s="4"/>
      <c r="W9" s="5"/>
      <c r="X9" s="1"/>
    </row>
    <row r="10" spans="1:24" ht="15" customHeight="1" x14ac:dyDescent="0.2">
      <c r="A10" s="424">
        <v>1.2</v>
      </c>
      <c r="B10" s="312"/>
      <c r="C10" s="313"/>
      <c r="D10" s="17">
        <f t="shared" si="2"/>
        <v>0</v>
      </c>
      <c r="E10" s="18">
        <f t="shared" si="3"/>
        <v>0</v>
      </c>
      <c r="F10" s="19">
        <f t="shared" si="7"/>
        <v>0</v>
      </c>
      <c r="G10" s="20">
        <f t="shared" si="0"/>
        <v>0</v>
      </c>
      <c r="H10" s="312">
        <v>98</v>
      </c>
      <c r="I10" s="313">
        <v>105</v>
      </c>
      <c r="J10" s="17">
        <f t="shared" si="4"/>
        <v>101.5</v>
      </c>
      <c r="K10" s="18">
        <f t="shared" si="5"/>
        <v>17.5</v>
      </c>
      <c r="L10" s="19">
        <f t="shared" si="8"/>
        <v>27.931034482758619</v>
      </c>
      <c r="M10" s="20">
        <f t="shared" si="1"/>
        <v>20.948275862068964</v>
      </c>
      <c r="N10" s="16">
        <f t="shared" si="6"/>
        <v>20.948275862068964</v>
      </c>
      <c r="O10" s="61">
        <v>5</v>
      </c>
      <c r="P10" s="61">
        <v>20</v>
      </c>
      <c r="Q10" s="64">
        <v>30</v>
      </c>
      <c r="R10" s="63">
        <v>50</v>
      </c>
      <c r="S10" s="3"/>
      <c r="T10" s="4"/>
      <c r="U10" s="4"/>
      <c r="V10" s="5"/>
      <c r="W10" s="5"/>
      <c r="X10" s="1"/>
    </row>
    <row r="11" spans="1:24" ht="15" customHeight="1" x14ac:dyDescent="0.2">
      <c r="A11" s="424">
        <v>0.6</v>
      </c>
      <c r="B11" s="312"/>
      <c r="C11" s="313"/>
      <c r="D11" s="17">
        <f t="shared" si="2"/>
        <v>0</v>
      </c>
      <c r="E11" s="18">
        <f t="shared" si="3"/>
        <v>0</v>
      </c>
      <c r="F11" s="19">
        <f t="shared" si="7"/>
        <v>0</v>
      </c>
      <c r="G11" s="20">
        <f t="shared" si="0"/>
        <v>0</v>
      </c>
      <c r="H11" s="312">
        <v>107</v>
      </c>
      <c r="I11" s="313">
        <v>99</v>
      </c>
      <c r="J11" s="17">
        <f t="shared" si="4"/>
        <v>103</v>
      </c>
      <c r="K11" s="18">
        <f t="shared" si="5"/>
        <v>17.758620689655171</v>
      </c>
      <c r="L11" s="19">
        <f t="shared" si="8"/>
        <v>45.689655172413794</v>
      </c>
      <c r="M11" s="20">
        <f t="shared" si="1"/>
        <v>34.267241379310342</v>
      </c>
      <c r="N11" s="16">
        <f>(G11+M11)</f>
        <v>34.267241379310342</v>
      </c>
      <c r="O11" s="61">
        <v>15</v>
      </c>
      <c r="P11" s="61">
        <v>35</v>
      </c>
      <c r="Q11" s="64">
        <v>55</v>
      </c>
      <c r="R11" s="63">
        <v>70</v>
      </c>
      <c r="S11" s="3"/>
      <c r="T11" s="4"/>
      <c r="U11" s="4"/>
      <c r="V11" s="5"/>
      <c r="W11" s="5"/>
      <c r="X11" s="1"/>
    </row>
    <row r="12" spans="1:24" ht="15" customHeight="1" x14ac:dyDescent="0.2">
      <c r="A12" s="424">
        <v>0.3</v>
      </c>
      <c r="B12" s="312">
        <v>15</v>
      </c>
      <c r="C12" s="313">
        <v>11</v>
      </c>
      <c r="D12" s="17">
        <f t="shared" si="2"/>
        <v>13</v>
      </c>
      <c r="E12" s="18">
        <f t="shared" si="3"/>
        <v>2.3111111111111109</v>
      </c>
      <c r="F12" s="19">
        <f t="shared" si="7"/>
        <v>2.3111111111111109</v>
      </c>
      <c r="G12" s="20">
        <f t="shared" si="0"/>
        <v>0.57777777777777772</v>
      </c>
      <c r="H12" s="312">
        <v>215</v>
      </c>
      <c r="I12" s="313">
        <v>203</v>
      </c>
      <c r="J12" s="17">
        <f t="shared" si="4"/>
        <v>209</v>
      </c>
      <c r="K12" s="18">
        <f t="shared" si="5"/>
        <v>36.03448275862069</v>
      </c>
      <c r="L12" s="19">
        <f t="shared" si="8"/>
        <v>81.724137931034477</v>
      </c>
      <c r="M12" s="20">
        <f t="shared" si="1"/>
        <v>61.293103448275858</v>
      </c>
      <c r="N12" s="16">
        <f>(G12+M12)</f>
        <v>61.870881226053633</v>
      </c>
      <c r="O12" s="61">
        <v>50</v>
      </c>
      <c r="P12" s="61">
        <v>65</v>
      </c>
      <c r="Q12" s="64">
        <v>85</v>
      </c>
      <c r="R12" s="63">
        <v>95</v>
      </c>
      <c r="S12" s="3"/>
      <c r="T12" s="4"/>
      <c r="U12" s="4"/>
      <c r="V12" s="5"/>
      <c r="W12" s="5"/>
      <c r="X12" s="1"/>
    </row>
    <row r="13" spans="1:24" ht="15" customHeight="1" x14ac:dyDescent="0.2">
      <c r="A13" s="424">
        <v>0.15</v>
      </c>
      <c r="B13" s="312">
        <v>394</v>
      </c>
      <c r="C13" s="313">
        <v>422</v>
      </c>
      <c r="D13" s="17">
        <f t="shared" si="2"/>
        <v>408</v>
      </c>
      <c r="E13" s="18">
        <f t="shared" si="3"/>
        <v>72.533333333333331</v>
      </c>
      <c r="F13" s="19">
        <f t="shared" si="7"/>
        <v>74.844444444444449</v>
      </c>
      <c r="G13" s="20">
        <f t="shared" si="0"/>
        <v>18.711111111111112</v>
      </c>
      <c r="H13" s="312">
        <v>86</v>
      </c>
      <c r="I13" s="313">
        <v>103</v>
      </c>
      <c r="J13" s="17">
        <f t="shared" si="4"/>
        <v>94.5</v>
      </c>
      <c r="K13" s="18">
        <f t="shared" si="5"/>
        <v>16.293103448275861</v>
      </c>
      <c r="L13" s="19">
        <f t="shared" si="8"/>
        <v>98.017241379310335</v>
      </c>
      <c r="M13" s="20">
        <f t="shared" si="1"/>
        <v>73.512931034482747</v>
      </c>
      <c r="N13" s="16">
        <f t="shared" si="6"/>
        <v>92.224042145593856</v>
      </c>
      <c r="O13" s="61">
        <v>85</v>
      </c>
      <c r="P13" s="61">
        <v>90</v>
      </c>
      <c r="Q13" s="64">
        <v>95</v>
      </c>
      <c r="R13" s="63">
        <v>100</v>
      </c>
      <c r="S13" s="3"/>
      <c r="T13" s="4"/>
      <c r="U13" s="4"/>
      <c r="V13" s="5"/>
      <c r="W13" s="5"/>
      <c r="X13" s="1"/>
    </row>
    <row r="14" spans="1:24" ht="15" customHeight="1" x14ac:dyDescent="0.2">
      <c r="A14" s="390">
        <v>7.4999999999999997E-2</v>
      </c>
      <c r="B14" s="314">
        <v>150</v>
      </c>
      <c r="C14" s="315">
        <v>131</v>
      </c>
      <c r="D14" s="17">
        <f t="shared" si="2"/>
        <v>140.5</v>
      </c>
      <c r="E14" s="18">
        <f t="shared" si="3"/>
        <v>24.977777777777778</v>
      </c>
      <c r="F14" s="19">
        <f>F13+E14</f>
        <v>99.822222222222223</v>
      </c>
      <c r="G14" s="20">
        <f t="shared" si="0"/>
        <v>24.955555555555556</v>
      </c>
      <c r="H14" s="314">
        <v>13</v>
      </c>
      <c r="I14" s="315">
        <v>6</v>
      </c>
      <c r="J14" s="17">
        <f t="shared" si="4"/>
        <v>9.5</v>
      </c>
      <c r="K14" s="18">
        <f t="shared" si="5"/>
        <v>1.6379310344827587</v>
      </c>
      <c r="L14" s="19">
        <f>L13+K14</f>
        <v>99.655172413793096</v>
      </c>
      <c r="M14" s="20">
        <f t="shared" si="1"/>
        <v>74.741379310344826</v>
      </c>
      <c r="N14" s="16">
        <f t="shared" si="6"/>
        <v>99.696934865900374</v>
      </c>
      <c r="O14" s="65">
        <v>100</v>
      </c>
      <c r="P14" s="65">
        <v>100</v>
      </c>
      <c r="Q14" s="66">
        <v>100</v>
      </c>
      <c r="R14" s="67">
        <v>100</v>
      </c>
      <c r="S14" s="3"/>
      <c r="T14" s="4"/>
      <c r="U14" s="4"/>
      <c r="V14" s="5"/>
      <c r="W14" s="5"/>
      <c r="X14" s="1"/>
    </row>
    <row r="15" spans="1:24" ht="15" customHeight="1" thickBot="1" x14ac:dyDescent="0.25">
      <c r="A15" s="390">
        <v>3.7499999999999999E-2</v>
      </c>
      <c r="B15" s="314">
        <v>1</v>
      </c>
      <c r="C15" s="315">
        <v>1</v>
      </c>
      <c r="D15" s="69">
        <f t="shared" si="2"/>
        <v>1</v>
      </c>
      <c r="E15" s="70">
        <f t="shared" si="3"/>
        <v>0.17777777777777778</v>
      </c>
      <c r="F15" s="71">
        <f t="shared" si="7"/>
        <v>100</v>
      </c>
      <c r="G15" s="21">
        <f t="shared" si="0"/>
        <v>25</v>
      </c>
      <c r="H15" s="314">
        <v>3</v>
      </c>
      <c r="I15" s="315">
        <v>1</v>
      </c>
      <c r="J15" s="69">
        <f t="shared" si="4"/>
        <v>2</v>
      </c>
      <c r="K15" s="70">
        <f t="shared" si="5"/>
        <v>0.34482758620689657</v>
      </c>
      <c r="L15" s="71">
        <f>L14+K15</f>
        <v>99.999999999999986</v>
      </c>
      <c r="M15" s="21">
        <f t="shared" si="1"/>
        <v>74.999999999999986</v>
      </c>
      <c r="N15" s="72">
        <f t="shared" si="6"/>
        <v>99.999999999999986</v>
      </c>
      <c r="O15" s="65">
        <v>100</v>
      </c>
      <c r="P15" s="65">
        <v>100</v>
      </c>
      <c r="Q15" s="65">
        <v>100</v>
      </c>
      <c r="R15" s="68">
        <v>100</v>
      </c>
      <c r="S15" s="6"/>
      <c r="T15" s="7"/>
      <c r="U15" s="7"/>
      <c r="V15" s="7"/>
      <c r="W15" s="7"/>
      <c r="X15" s="1"/>
    </row>
    <row r="16" spans="1:24" ht="15" customHeight="1" thickBot="1" x14ac:dyDescent="0.25">
      <c r="A16" s="73" t="s">
        <v>1</v>
      </c>
      <c r="B16" s="74">
        <f>SUM(B6:B15)</f>
        <v>560</v>
      </c>
      <c r="C16" s="75">
        <f>SUM(C6:C15)</f>
        <v>565</v>
      </c>
      <c r="D16" s="75">
        <f>SUM(D6:D15)</f>
        <v>562.5</v>
      </c>
      <c r="E16" s="76">
        <f>SUM(E6:E15)</f>
        <v>100</v>
      </c>
      <c r="F16" s="76"/>
      <c r="G16" s="77"/>
      <c r="H16" s="74">
        <f>SUM(H6:H15)</f>
        <v>580</v>
      </c>
      <c r="I16" s="75">
        <f>SUM(I6:I15)</f>
        <v>580</v>
      </c>
      <c r="J16" s="75">
        <f>SUM(J6:J15)</f>
        <v>580</v>
      </c>
      <c r="K16" s="76">
        <f>SUM(K6:K15)</f>
        <v>99.999999999999986</v>
      </c>
      <c r="L16" s="76"/>
      <c r="M16" s="77"/>
      <c r="N16" s="78">
        <f>(G18+M18)/100</f>
        <v>1</v>
      </c>
      <c r="O16" s="509"/>
      <c r="P16" s="509"/>
      <c r="Q16" s="510"/>
      <c r="R16" s="79"/>
    </row>
    <row r="17" spans="1:18" ht="15" thickBot="1" x14ac:dyDescent="0.2">
      <c r="A17" s="9" t="s">
        <v>7</v>
      </c>
      <c r="B17" s="503">
        <f>(F6+F8+F9+F10+F11+F12+F13)/100</f>
        <v>0.77155555555555566</v>
      </c>
      <c r="C17" s="504"/>
      <c r="D17" s="22"/>
      <c r="E17" s="11"/>
      <c r="F17" s="11"/>
      <c r="G17" s="11"/>
      <c r="H17" s="505">
        <f>(L6+L8+L9+L10+L11+L12+L13)/100</f>
        <v>2.6508620689655169</v>
      </c>
      <c r="I17" s="506"/>
      <c r="J17" s="22"/>
      <c r="K17" s="11"/>
      <c r="L17" s="11"/>
      <c r="M17" s="11"/>
      <c r="N17" s="363">
        <f>(N6+N8+N9+N10+N11+N12+N13)/100</f>
        <v>2.1810354406130266</v>
      </c>
      <c r="O17" s="364">
        <f t="shared" ref="O17:R17" si="9">(O6+O8+O9+O10+O11+O12+O13)/100</f>
        <v>1.55</v>
      </c>
      <c r="P17" s="364">
        <f t="shared" si="9"/>
        <v>2.2000000000000002</v>
      </c>
      <c r="Q17" s="364">
        <f t="shared" si="9"/>
        <v>2.9</v>
      </c>
      <c r="R17" s="365">
        <f t="shared" si="9"/>
        <v>3.5</v>
      </c>
    </row>
    <row r="18" spans="1:18" ht="17" thickBot="1" x14ac:dyDescent="0.25">
      <c r="A18" s="3"/>
      <c r="B18" s="507" t="s">
        <v>151</v>
      </c>
      <c r="C18" s="508"/>
      <c r="D18" s="508"/>
      <c r="E18" s="508"/>
      <c r="F18" s="508"/>
      <c r="G18" s="367">
        <v>25</v>
      </c>
      <c r="H18" s="507" t="s">
        <v>152</v>
      </c>
      <c r="I18" s="508"/>
      <c r="J18" s="508"/>
      <c r="K18" s="508"/>
      <c r="L18" s="508"/>
      <c r="M18" s="366">
        <f>100-G18</f>
        <v>75</v>
      </c>
      <c r="N18" s="22"/>
      <c r="O18" s="22"/>
      <c r="P18" s="22"/>
      <c r="Q18" s="22"/>
      <c r="R18" s="22"/>
    </row>
    <row r="19" spans="1:18" ht="14" x14ac:dyDescent="0.15">
      <c r="A19" s="3"/>
      <c r="B19" s="22"/>
      <c r="C19" s="22"/>
      <c r="D19" s="22"/>
      <c r="E19" s="11"/>
      <c r="F19" s="11"/>
      <c r="G19" s="11"/>
      <c r="H19" s="22"/>
      <c r="I19" s="22"/>
      <c r="J19" s="22"/>
      <c r="K19" s="11"/>
      <c r="L19" s="11"/>
      <c r="M19" s="11"/>
      <c r="N19" s="22"/>
      <c r="O19" s="22"/>
      <c r="P19" s="22"/>
      <c r="Q19" s="22"/>
      <c r="R19" s="22"/>
    </row>
    <row r="20" spans="1:18" ht="14" customHeight="1" x14ac:dyDescent="0.15"/>
    <row r="21" spans="1:18" ht="14" customHeight="1" x14ac:dyDescent="0.15"/>
    <row r="22" spans="1:18" ht="14" customHeight="1" x14ac:dyDescent="0.15"/>
    <row r="23" spans="1:18" ht="14" customHeight="1" x14ac:dyDescent="0.15"/>
    <row r="24" spans="1:18" ht="14" customHeight="1" x14ac:dyDescent="0.15"/>
    <row r="25" spans="1:18" ht="14" customHeight="1" x14ac:dyDescent="0.15"/>
    <row r="26" spans="1:18" ht="14" customHeight="1" x14ac:dyDescent="0.15"/>
    <row r="27" spans="1:18" ht="14" customHeight="1" x14ac:dyDescent="0.15"/>
    <row r="28" spans="1:18" ht="14" customHeight="1" x14ac:dyDescent="0.15"/>
    <row r="29" spans="1:18" ht="14" customHeight="1" x14ac:dyDescent="0.15"/>
    <row r="30" spans="1:18" ht="14" customHeight="1" x14ac:dyDescent="0.15"/>
    <row r="31" spans="1:18" ht="14" customHeight="1" x14ac:dyDescent="0.15"/>
    <row r="32" spans="1:18" ht="14" customHeight="1" x14ac:dyDescent="0.15"/>
    <row r="33" spans="20:21" ht="14" customHeight="1" x14ac:dyDescent="0.15"/>
    <row r="34" spans="20:21" ht="14" customHeight="1" x14ac:dyDescent="0.15">
      <c r="T34" t="s">
        <v>4</v>
      </c>
    </row>
    <row r="35" spans="20:21" ht="14" customHeight="1" x14ac:dyDescent="0.15">
      <c r="T35" s="2"/>
    </row>
    <row r="36" spans="20:21" ht="14" customHeight="1" x14ac:dyDescent="0.15"/>
    <row r="37" spans="20:21" ht="14" customHeight="1" x14ac:dyDescent="0.15"/>
    <row r="38" spans="20:21" ht="14" customHeight="1" x14ac:dyDescent="0.15"/>
    <row r="39" spans="20:21" ht="14" customHeight="1" x14ac:dyDescent="0.15"/>
    <row r="40" spans="20:21" ht="14" customHeight="1" x14ac:dyDescent="0.15"/>
    <row r="41" spans="20:21" ht="14" customHeight="1" x14ac:dyDescent="0.15"/>
    <row r="42" spans="20:21" ht="14" customHeight="1" x14ac:dyDescent="0.15"/>
    <row r="43" spans="20:21" ht="18" customHeight="1" x14ac:dyDescent="0.15">
      <c r="U43" t="s">
        <v>4</v>
      </c>
    </row>
    <row r="44" spans="20:21" ht="18" customHeight="1" x14ac:dyDescent="0.15"/>
    <row r="45" spans="20:21" ht="18" customHeight="1" x14ac:dyDescent="0.15"/>
    <row r="46" spans="20:21" ht="18" customHeight="1" x14ac:dyDescent="0.15"/>
    <row r="47" spans="20:21" ht="18" customHeight="1" x14ac:dyDescent="0.15"/>
    <row r="48" spans="20:21" ht="18" customHeight="1" x14ac:dyDescent="0.15"/>
  </sheetData>
  <mergeCells count="14">
    <mergeCell ref="B17:C17"/>
    <mergeCell ref="H17:I17"/>
    <mergeCell ref="B18:F18"/>
    <mergeCell ref="H18:L18"/>
    <mergeCell ref="A2:O2"/>
    <mergeCell ref="O16:Q16"/>
    <mergeCell ref="Q2:R2"/>
    <mergeCell ref="A3:A5"/>
    <mergeCell ref="O4:P4"/>
    <mergeCell ref="Q4:R4"/>
    <mergeCell ref="N4:N5"/>
    <mergeCell ref="N3:R3"/>
    <mergeCell ref="H3:M4"/>
    <mergeCell ref="B3:G4"/>
  </mergeCells>
  <phoneticPr fontId="0" type="noConversion"/>
  <pageMargins left="0.51181102362204722" right="0" top="1.1811023622047245" bottom="0" header="0.51181102362204722" footer="0.51181102362204722"/>
  <pageSetup paperSize="9" scale="84" orientation="landscape" horizontalDpi="300" verticalDpi="300" r:id="rId1"/>
  <headerFooter alignWithMargins="0">
    <oddFooter>&amp;C&amp;1#&amp;"Calibri"&amp;10&amp;KFF0000This content is Confidential.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>
    <tabColor rgb="FFFFC000"/>
  </sheetPr>
  <dimension ref="A1:AD48"/>
  <sheetViews>
    <sheetView showGridLines="0" zoomScale="80" zoomScaleNormal="80" zoomScaleSheetLayoutView="75" workbookViewId="0">
      <pane xSplit="1" ySplit="5" topLeftCell="B6" activePane="bottomRight" state="frozen"/>
      <selection activeCell="AD7" sqref="AD7"/>
      <selection pane="topRight" activeCell="AD7" sqref="AD7"/>
      <selection pane="bottomLeft" activeCell="AD7" sqref="AD7"/>
      <selection pane="bottomRight" activeCell="AA16" sqref="AA16"/>
    </sheetView>
  </sheetViews>
  <sheetFormatPr baseColWidth="10" defaultColWidth="8.83203125" defaultRowHeight="13" x14ac:dyDescent="0.15"/>
  <cols>
    <col min="1" max="1" width="12.6640625" customWidth="1"/>
    <col min="2" max="19" width="8.6640625" customWidth="1"/>
    <col min="20" max="20" width="10.6640625" customWidth="1"/>
    <col min="21" max="24" width="8.6640625" customWidth="1"/>
  </cols>
  <sheetData>
    <row r="1" spans="1:30" s="23" customFormat="1" ht="41.25" customHeight="1" thickBot="1" x14ac:dyDescent="0.2"/>
    <row r="2" spans="1:30" ht="15" customHeight="1" thickBot="1" x14ac:dyDescent="0.2">
      <c r="A2" s="485" t="s">
        <v>2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7"/>
      <c r="V2" s="8" t="s">
        <v>0</v>
      </c>
      <c r="W2" s="488"/>
      <c r="X2" s="489"/>
    </row>
    <row r="3" spans="1:30" ht="15" customHeight="1" x14ac:dyDescent="0.2">
      <c r="A3" s="705" t="s">
        <v>184</v>
      </c>
      <c r="B3" s="499" t="s">
        <v>5</v>
      </c>
      <c r="C3" s="515"/>
      <c r="D3" s="515"/>
      <c r="E3" s="515"/>
      <c r="F3" s="515"/>
      <c r="G3" s="516"/>
      <c r="H3" s="499" t="s">
        <v>37</v>
      </c>
      <c r="I3" s="515"/>
      <c r="J3" s="515"/>
      <c r="K3" s="515"/>
      <c r="L3" s="515"/>
      <c r="M3" s="516"/>
      <c r="N3" s="499" t="s">
        <v>38</v>
      </c>
      <c r="O3" s="515"/>
      <c r="P3" s="515"/>
      <c r="Q3" s="515"/>
      <c r="R3" s="515"/>
      <c r="S3" s="516"/>
      <c r="T3" s="512" t="s">
        <v>34</v>
      </c>
      <c r="U3" s="513"/>
      <c r="V3" s="513"/>
      <c r="W3" s="513"/>
      <c r="X3" s="514"/>
    </row>
    <row r="4" spans="1:30" ht="15" customHeight="1" thickBot="1" x14ac:dyDescent="0.25">
      <c r="A4" s="706"/>
      <c r="B4" s="501"/>
      <c r="C4" s="502"/>
      <c r="D4" s="502"/>
      <c r="E4" s="502"/>
      <c r="F4" s="502"/>
      <c r="G4" s="517"/>
      <c r="H4" s="501"/>
      <c r="I4" s="502"/>
      <c r="J4" s="502"/>
      <c r="K4" s="502"/>
      <c r="L4" s="502"/>
      <c r="M4" s="517"/>
      <c r="N4" s="501"/>
      <c r="O4" s="502"/>
      <c r="P4" s="502"/>
      <c r="Q4" s="502"/>
      <c r="R4" s="502"/>
      <c r="S4" s="517"/>
      <c r="T4" s="511" t="s">
        <v>3</v>
      </c>
      <c r="U4" s="493" t="s">
        <v>35</v>
      </c>
      <c r="V4" s="493"/>
      <c r="W4" s="493" t="s">
        <v>36</v>
      </c>
      <c r="X4" s="494"/>
    </row>
    <row r="5" spans="1:30" ht="30" customHeight="1" thickBot="1" x14ac:dyDescent="0.25">
      <c r="A5" s="706"/>
      <c r="B5" s="358" t="s">
        <v>27</v>
      </c>
      <c r="C5" s="359" t="s">
        <v>28</v>
      </c>
      <c r="D5" s="359" t="s">
        <v>6</v>
      </c>
      <c r="E5" s="359" t="s">
        <v>29</v>
      </c>
      <c r="F5" s="360" t="s">
        <v>30</v>
      </c>
      <c r="G5" s="361" t="s">
        <v>31</v>
      </c>
      <c r="H5" s="358" t="s">
        <v>27</v>
      </c>
      <c r="I5" s="359" t="s">
        <v>28</v>
      </c>
      <c r="J5" s="359" t="s">
        <v>6</v>
      </c>
      <c r="K5" s="359" t="s">
        <v>29</v>
      </c>
      <c r="L5" s="360" t="s">
        <v>30</v>
      </c>
      <c r="M5" s="361" t="s">
        <v>31</v>
      </c>
      <c r="N5" s="358" t="s">
        <v>27</v>
      </c>
      <c r="O5" s="359" t="s">
        <v>28</v>
      </c>
      <c r="P5" s="359" t="s">
        <v>6</v>
      </c>
      <c r="Q5" s="359" t="s">
        <v>29</v>
      </c>
      <c r="R5" s="360" t="s">
        <v>30</v>
      </c>
      <c r="S5" s="361" t="s">
        <v>31</v>
      </c>
      <c r="T5" s="511"/>
      <c r="U5" s="59" t="s">
        <v>32</v>
      </c>
      <c r="V5" s="59" t="s">
        <v>33</v>
      </c>
      <c r="W5" s="59" t="s">
        <v>33</v>
      </c>
      <c r="X5" s="60" t="s">
        <v>32</v>
      </c>
    </row>
    <row r="6" spans="1:30" ht="15" customHeight="1" x14ac:dyDescent="0.2">
      <c r="A6" s="424">
        <v>9.5</v>
      </c>
      <c r="B6" s="310"/>
      <c r="C6" s="311"/>
      <c r="D6" s="12">
        <f>(B6+C6)/2</f>
        <v>0</v>
      </c>
      <c r="E6" s="13">
        <f>D6/$D$16*100</f>
        <v>0</v>
      </c>
      <c r="F6" s="14">
        <f>E6</f>
        <v>0</v>
      </c>
      <c r="G6" s="15">
        <f t="shared" ref="G6:G15" si="0">(G$18*F6)/100</f>
        <v>0</v>
      </c>
      <c r="H6" s="310"/>
      <c r="I6" s="311"/>
      <c r="J6" s="12">
        <f>(H6+I6)/2</f>
        <v>0</v>
      </c>
      <c r="K6" s="13">
        <f>J6/$J$16*100</f>
        <v>0</v>
      </c>
      <c r="L6" s="14">
        <f>K6</f>
        <v>0</v>
      </c>
      <c r="M6" s="15">
        <f t="shared" ref="M6:M15" si="1">(M$18*L6)/100</f>
        <v>0</v>
      </c>
      <c r="N6" s="310">
        <v>12</v>
      </c>
      <c r="O6" s="311">
        <v>17</v>
      </c>
      <c r="P6" s="12">
        <f>(N6+O6)/2</f>
        <v>14.5</v>
      </c>
      <c r="Q6" s="13">
        <f>P6/$P$16*100</f>
        <v>4.0333796940194713</v>
      </c>
      <c r="R6" s="14">
        <f>Q6</f>
        <v>4.0333796940194713</v>
      </c>
      <c r="S6" s="15">
        <f t="shared" ref="S6:S15" si="2">(S$18*R6)/100</f>
        <v>1.4116828929068148</v>
      </c>
      <c r="T6" s="16">
        <f>(G6+M6+S6)</f>
        <v>1.4116828929068148</v>
      </c>
      <c r="U6" s="61">
        <v>0</v>
      </c>
      <c r="V6" s="61">
        <v>0</v>
      </c>
      <c r="W6" s="61">
        <v>0</v>
      </c>
      <c r="X6" s="62">
        <v>0</v>
      </c>
      <c r="Y6" s="3"/>
      <c r="Z6" s="4"/>
      <c r="AA6" s="4"/>
      <c r="AB6" s="4"/>
      <c r="AC6" s="4"/>
      <c r="AD6" s="1"/>
    </row>
    <row r="7" spans="1:30" ht="15" customHeight="1" x14ac:dyDescent="0.2">
      <c r="A7" s="423">
        <v>6.3</v>
      </c>
      <c r="B7" s="310"/>
      <c r="C7" s="311"/>
      <c r="D7" s="17">
        <f t="shared" ref="D7:D15" si="3">(B7+C7)/2</f>
        <v>0</v>
      </c>
      <c r="E7" s="18">
        <f t="shared" ref="E7:E15" si="4">D7/$D$16*100</f>
        <v>0</v>
      </c>
      <c r="F7" s="19">
        <f>F6+E7</f>
        <v>0</v>
      </c>
      <c r="G7" s="20">
        <f t="shared" si="0"/>
        <v>0</v>
      </c>
      <c r="H7" s="310"/>
      <c r="I7" s="311"/>
      <c r="J7" s="17">
        <f t="shared" ref="J7:J15" si="5">(H7+I7)/2</f>
        <v>0</v>
      </c>
      <c r="K7" s="18">
        <f t="shared" ref="K7:K15" si="6">J7/$J$16*100</f>
        <v>0</v>
      </c>
      <c r="L7" s="19">
        <f>L6+K7</f>
        <v>0</v>
      </c>
      <c r="M7" s="20">
        <f t="shared" si="1"/>
        <v>0</v>
      </c>
      <c r="N7" s="310">
        <v>30</v>
      </c>
      <c r="O7" s="311">
        <v>52</v>
      </c>
      <c r="P7" s="17">
        <f t="shared" ref="P7:P15" si="7">(N7+O7)/2</f>
        <v>41</v>
      </c>
      <c r="Q7" s="18">
        <f t="shared" ref="Q7:Q15" si="8">P7/$P$16*100</f>
        <v>11.404728789986091</v>
      </c>
      <c r="R7" s="19">
        <f>R6+Q7</f>
        <v>15.438108484005562</v>
      </c>
      <c r="S7" s="20">
        <f t="shared" si="2"/>
        <v>5.4033379694019468</v>
      </c>
      <c r="T7" s="16">
        <f t="shared" ref="T7:T15" si="9">(G7+M7+S7)</f>
        <v>5.4033379694019468</v>
      </c>
      <c r="U7" s="61">
        <v>0</v>
      </c>
      <c r="V7" s="61">
        <v>0</v>
      </c>
      <c r="W7" s="61">
        <v>0</v>
      </c>
      <c r="X7" s="62">
        <v>7</v>
      </c>
      <c r="Y7" s="3"/>
      <c r="Z7" s="4"/>
      <c r="AA7" s="4"/>
      <c r="AB7" s="4"/>
      <c r="AC7" s="4"/>
      <c r="AD7" s="1"/>
    </row>
    <row r="8" spans="1:30" ht="15" customHeight="1" x14ac:dyDescent="0.2">
      <c r="A8" s="424">
        <v>4.8</v>
      </c>
      <c r="B8" s="312"/>
      <c r="C8" s="313"/>
      <c r="D8" s="17">
        <f t="shared" si="3"/>
        <v>0</v>
      </c>
      <c r="E8" s="18">
        <f t="shared" si="4"/>
        <v>0</v>
      </c>
      <c r="F8" s="19">
        <f t="shared" ref="F8:F15" si="10">F7+E8</f>
        <v>0</v>
      </c>
      <c r="G8" s="20">
        <f t="shared" si="0"/>
        <v>0</v>
      </c>
      <c r="H8" s="312">
        <v>6</v>
      </c>
      <c r="I8" s="313">
        <v>9</v>
      </c>
      <c r="J8" s="17">
        <f t="shared" si="5"/>
        <v>7.5</v>
      </c>
      <c r="K8" s="18">
        <f t="shared" si="6"/>
        <v>1.2931034482758621</v>
      </c>
      <c r="L8" s="19">
        <f t="shared" ref="L8:L13" si="11">L7+K8</f>
        <v>1.2931034482758621</v>
      </c>
      <c r="M8" s="20">
        <f t="shared" si="1"/>
        <v>0.51724137931034486</v>
      </c>
      <c r="N8" s="312">
        <v>68</v>
      </c>
      <c r="O8" s="313">
        <v>75</v>
      </c>
      <c r="P8" s="17">
        <f t="shared" si="7"/>
        <v>71.5</v>
      </c>
      <c r="Q8" s="18">
        <f t="shared" si="8"/>
        <v>19.888734353268429</v>
      </c>
      <c r="R8" s="19">
        <f t="shared" ref="R8:R13" si="12">R7+Q8</f>
        <v>35.326842837273993</v>
      </c>
      <c r="S8" s="20">
        <f t="shared" si="2"/>
        <v>12.364394993045899</v>
      </c>
      <c r="T8" s="16">
        <f t="shared" si="9"/>
        <v>12.881636372356244</v>
      </c>
      <c r="U8" s="61">
        <v>0</v>
      </c>
      <c r="V8" s="61">
        <v>0</v>
      </c>
      <c r="W8" s="61">
        <v>5</v>
      </c>
      <c r="X8" s="62">
        <v>10</v>
      </c>
      <c r="Y8" s="3"/>
      <c r="Z8" s="4"/>
      <c r="AA8" s="4"/>
      <c r="AB8" s="4"/>
      <c r="AC8" s="4"/>
      <c r="AD8" s="1"/>
    </row>
    <row r="9" spans="1:30" ht="15" customHeight="1" x14ac:dyDescent="0.2">
      <c r="A9" s="424">
        <v>2.4</v>
      </c>
      <c r="B9" s="312"/>
      <c r="C9" s="313"/>
      <c r="D9" s="17">
        <f t="shared" si="3"/>
        <v>0</v>
      </c>
      <c r="E9" s="18">
        <f t="shared" si="4"/>
        <v>0</v>
      </c>
      <c r="F9" s="19">
        <f t="shared" si="10"/>
        <v>0</v>
      </c>
      <c r="G9" s="20">
        <f t="shared" si="0"/>
        <v>0</v>
      </c>
      <c r="H9" s="312">
        <v>52</v>
      </c>
      <c r="I9" s="313">
        <v>54</v>
      </c>
      <c r="J9" s="17">
        <f t="shared" si="5"/>
        <v>53</v>
      </c>
      <c r="K9" s="18">
        <f t="shared" si="6"/>
        <v>9.137931034482758</v>
      </c>
      <c r="L9" s="19">
        <f t="shared" si="11"/>
        <v>10.431034482758619</v>
      </c>
      <c r="M9" s="20">
        <f t="shared" si="1"/>
        <v>4.1724137931034475</v>
      </c>
      <c r="N9" s="312">
        <v>105</v>
      </c>
      <c r="O9" s="313">
        <v>127</v>
      </c>
      <c r="P9" s="17">
        <f t="shared" si="7"/>
        <v>116</v>
      </c>
      <c r="Q9" s="18">
        <f t="shared" si="8"/>
        <v>32.26703755215577</v>
      </c>
      <c r="R9" s="19">
        <f t="shared" si="12"/>
        <v>67.593880389429756</v>
      </c>
      <c r="S9" s="20">
        <f t="shared" si="2"/>
        <v>23.657858136300415</v>
      </c>
      <c r="T9" s="16">
        <f t="shared" si="9"/>
        <v>27.830271929403864</v>
      </c>
      <c r="U9" s="61">
        <v>0</v>
      </c>
      <c r="V9" s="61">
        <v>10</v>
      </c>
      <c r="W9" s="61">
        <v>20</v>
      </c>
      <c r="X9" s="63">
        <v>25</v>
      </c>
      <c r="Y9" s="3"/>
      <c r="Z9" s="4"/>
      <c r="AA9" s="4"/>
      <c r="AB9" s="4"/>
      <c r="AC9" s="5"/>
      <c r="AD9" s="1"/>
    </row>
    <row r="10" spans="1:30" ht="15" customHeight="1" x14ac:dyDescent="0.2">
      <c r="A10" s="424">
        <v>1.2</v>
      </c>
      <c r="B10" s="312"/>
      <c r="C10" s="313"/>
      <c r="D10" s="17">
        <f t="shared" si="3"/>
        <v>0</v>
      </c>
      <c r="E10" s="18">
        <f t="shared" si="4"/>
        <v>0</v>
      </c>
      <c r="F10" s="19">
        <f t="shared" si="10"/>
        <v>0</v>
      </c>
      <c r="G10" s="20">
        <f t="shared" si="0"/>
        <v>0</v>
      </c>
      <c r="H10" s="312">
        <v>98</v>
      </c>
      <c r="I10" s="313">
        <v>105</v>
      </c>
      <c r="J10" s="17">
        <f t="shared" si="5"/>
        <v>101.5</v>
      </c>
      <c r="K10" s="18">
        <f t="shared" si="6"/>
        <v>17.5</v>
      </c>
      <c r="L10" s="19">
        <f t="shared" si="11"/>
        <v>27.931034482758619</v>
      </c>
      <c r="M10" s="20">
        <f t="shared" si="1"/>
        <v>11.172413793103447</v>
      </c>
      <c r="N10" s="312">
        <v>52</v>
      </c>
      <c r="O10" s="313">
        <v>77</v>
      </c>
      <c r="P10" s="17">
        <f t="shared" si="7"/>
        <v>64.5</v>
      </c>
      <c r="Q10" s="18">
        <f t="shared" si="8"/>
        <v>17.941585535465926</v>
      </c>
      <c r="R10" s="19">
        <f t="shared" si="12"/>
        <v>85.535465924895675</v>
      </c>
      <c r="S10" s="20">
        <f t="shared" si="2"/>
        <v>29.937413073713486</v>
      </c>
      <c r="T10" s="16">
        <f t="shared" si="9"/>
        <v>41.109826866816931</v>
      </c>
      <c r="U10" s="61">
        <v>5</v>
      </c>
      <c r="V10" s="61">
        <v>20</v>
      </c>
      <c r="W10" s="64">
        <v>30</v>
      </c>
      <c r="X10" s="63">
        <v>50</v>
      </c>
      <c r="Y10" s="3"/>
      <c r="Z10" s="4"/>
      <c r="AA10" s="4"/>
      <c r="AB10" s="5"/>
      <c r="AC10" s="5"/>
      <c r="AD10" s="1"/>
    </row>
    <row r="11" spans="1:30" ht="15" customHeight="1" x14ac:dyDescent="0.2">
      <c r="A11" s="424">
        <v>0.6</v>
      </c>
      <c r="B11" s="312"/>
      <c r="C11" s="313"/>
      <c r="D11" s="17">
        <f t="shared" si="3"/>
        <v>0</v>
      </c>
      <c r="E11" s="18">
        <f t="shared" si="4"/>
        <v>0</v>
      </c>
      <c r="F11" s="19">
        <f t="shared" si="10"/>
        <v>0</v>
      </c>
      <c r="G11" s="20">
        <f t="shared" si="0"/>
        <v>0</v>
      </c>
      <c r="H11" s="312">
        <v>107</v>
      </c>
      <c r="I11" s="313">
        <v>99</v>
      </c>
      <c r="J11" s="17">
        <f t="shared" si="5"/>
        <v>103</v>
      </c>
      <c r="K11" s="18">
        <f t="shared" si="6"/>
        <v>17.758620689655171</v>
      </c>
      <c r="L11" s="19">
        <f t="shared" si="11"/>
        <v>45.689655172413794</v>
      </c>
      <c r="M11" s="20">
        <f t="shared" si="1"/>
        <v>18.275862068965516</v>
      </c>
      <c r="N11" s="312">
        <v>48</v>
      </c>
      <c r="O11" s="313">
        <v>56</v>
      </c>
      <c r="P11" s="17">
        <f t="shared" si="7"/>
        <v>52</v>
      </c>
      <c r="Q11" s="18">
        <f t="shared" si="8"/>
        <v>14.464534075104313</v>
      </c>
      <c r="R11" s="19">
        <f t="shared" si="12"/>
        <v>99.999999999999986</v>
      </c>
      <c r="S11" s="20">
        <f t="shared" si="2"/>
        <v>34.999999999999993</v>
      </c>
      <c r="T11" s="16">
        <f t="shared" si="9"/>
        <v>53.275862068965509</v>
      </c>
      <c r="U11" s="61">
        <v>15</v>
      </c>
      <c r="V11" s="61">
        <v>35</v>
      </c>
      <c r="W11" s="64">
        <v>55</v>
      </c>
      <c r="X11" s="63">
        <v>70</v>
      </c>
      <c r="Y11" s="3"/>
      <c r="Z11" s="4"/>
      <c r="AA11" s="4"/>
      <c r="AB11" s="5"/>
      <c r="AC11" s="5"/>
      <c r="AD11" s="1"/>
    </row>
    <row r="12" spans="1:30" ht="15" customHeight="1" x14ac:dyDescent="0.2">
      <c r="A12" s="424">
        <v>0.3</v>
      </c>
      <c r="B12" s="312">
        <v>15</v>
      </c>
      <c r="C12" s="313">
        <v>11</v>
      </c>
      <c r="D12" s="17">
        <f t="shared" si="3"/>
        <v>13</v>
      </c>
      <c r="E12" s="18">
        <f t="shared" si="4"/>
        <v>2.3111111111111109</v>
      </c>
      <c r="F12" s="19">
        <f t="shared" si="10"/>
        <v>2.3111111111111109</v>
      </c>
      <c r="G12" s="20">
        <f t="shared" si="0"/>
        <v>0.57777777777777772</v>
      </c>
      <c r="H12" s="312">
        <v>215</v>
      </c>
      <c r="I12" s="313">
        <v>203</v>
      </c>
      <c r="J12" s="17">
        <f t="shared" si="5"/>
        <v>209</v>
      </c>
      <c r="K12" s="18">
        <f t="shared" si="6"/>
        <v>36.03448275862069</v>
      </c>
      <c r="L12" s="19">
        <f t="shared" si="11"/>
        <v>81.724137931034477</v>
      </c>
      <c r="M12" s="20">
        <f t="shared" si="1"/>
        <v>32.689655172413794</v>
      </c>
      <c r="N12" s="312"/>
      <c r="O12" s="313"/>
      <c r="P12" s="17">
        <f t="shared" si="7"/>
        <v>0</v>
      </c>
      <c r="Q12" s="18">
        <f t="shared" si="8"/>
        <v>0</v>
      </c>
      <c r="R12" s="19">
        <f t="shared" si="12"/>
        <v>99.999999999999986</v>
      </c>
      <c r="S12" s="20">
        <f t="shared" si="2"/>
        <v>34.999999999999993</v>
      </c>
      <c r="T12" s="16">
        <f t="shared" si="9"/>
        <v>68.267432950191562</v>
      </c>
      <c r="U12" s="61">
        <v>50</v>
      </c>
      <c r="V12" s="61">
        <v>65</v>
      </c>
      <c r="W12" s="64">
        <v>85</v>
      </c>
      <c r="X12" s="63">
        <v>95</v>
      </c>
      <c r="Y12" s="3"/>
      <c r="Z12" s="4"/>
      <c r="AA12" s="4"/>
      <c r="AB12" s="5"/>
      <c r="AC12" s="5"/>
      <c r="AD12" s="1"/>
    </row>
    <row r="13" spans="1:30" ht="15" customHeight="1" x14ac:dyDescent="0.2">
      <c r="A13" s="424">
        <v>0.15</v>
      </c>
      <c r="B13" s="312">
        <v>394</v>
      </c>
      <c r="C13" s="313">
        <v>422</v>
      </c>
      <c r="D13" s="17">
        <f t="shared" si="3"/>
        <v>408</v>
      </c>
      <c r="E13" s="18">
        <f t="shared" si="4"/>
        <v>72.533333333333331</v>
      </c>
      <c r="F13" s="19">
        <f t="shared" si="10"/>
        <v>74.844444444444449</v>
      </c>
      <c r="G13" s="20">
        <f t="shared" si="0"/>
        <v>18.711111111111112</v>
      </c>
      <c r="H13" s="312">
        <v>86</v>
      </c>
      <c r="I13" s="313">
        <v>103</v>
      </c>
      <c r="J13" s="17">
        <f t="shared" si="5"/>
        <v>94.5</v>
      </c>
      <c r="K13" s="18">
        <f t="shared" si="6"/>
        <v>16.293103448275861</v>
      </c>
      <c r="L13" s="19">
        <f t="shared" si="11"/>
        <v>98.017241379310335</v>
      </c>
      <c r="M13" s="20">
        <f t="shared" si="1"/>
        <v>39.206896551724135</v>
      </c>
      <c r="N13" s="312"/>
      <c r="O13" s="313"/>
      <c r="P13" s="17">
        <f t="shared" si="7"/>
        <v>0</v>
      </c>
      <c r="Q13" s="18">
        <f t="shared" si="8"/>
        <v>0</v>
      </c>
      <c r="R13" s="19">
        <f t="shared" si="12"/>
        <v>99.999999999999986</v>
      </c>
      <c r="S13" s="20">
        <f t="shared" si="2"/>
        <v>34.999999999999993</v>
      </c>
      <c r="T13" s="16">
        <f t="shared" si="9"/>
        <v>92.918007662835237</v>
      </c>
      <c r="U13" s="61">
        <v>85</v>
      </c>
      <c r="V13" s="61">
        <v>90</v>
      </c>
      <c r="W13" s="64">
        <v>95</v>
      </c>
      <c r="X13" s="63">
        <v>100</v>
      </c>
      <c r="Y13" s="3"/>
      <c r="Z13" s="4"/>
      <c r="AA13" s="4"/>
      <c r="AB13" s="5"/>
      <c r="AC13" s="5"/>
      <c r="AD13" s="1"/>
    </row>
    <row r="14" spans="1:30" ht="15" customHeight="1" x14ac:dyDescent="0.2">
      <c r="A14" s="390">
        <v>7.4999999999999997E-2</v>
      </c>
      <c r="B14" s="314">
        <v>150</v>
      </c>
      <c r="C14" s="315">
        <v>131</v>
      </c>
      <c r="D14" s="17">
        <f t="shared" si="3"/>
        <v>140.5</v>
      </c>
      <c r="E14" s="18">
        <f t="shared" si="4"/>
        <v>24.977777777777778</v>
      </c>
      <c r="F14" s="19">
        <f>F13+E14</f>
        <v>99.822222222222223</v>
      </c>
      <c r="G14" s="20">
        <f t="shared" si="0"/>
        <v>24.955555555555556</v>
      </c>
      <c r="H14" s="314">
        <v>13</v>
      </c>
      <c r="I14" s="315">
        <v>6</v>
      </c>
      <c r="J14" s="17">
        <f t="shared" si="5"/>
        <v>9.5</v>
      </c>
      <c r="K14" s="18">
        <f t="shared" si="6"/>
        <v>1.6379310344827587</v>
      </c>
      <c r="L14" s="19">
        <f>L13+K14</f>
        <v>99.655172413793096</v>
      </c>
      <c r="M14" s="20">
        <f t="shared" si="1"/>
        <v>39.862068965517238</v>
      </c>
      <c r="N14" s="314"/>
      <c r="O14" s="315"/>
      <c r="P14" s="17">
        <f t="shared" si="7"/>
        <v>0</v>
      </c>
      <c r="Q14" s="18">
        <f t="shared" si="8"/>
        <v>0</v>
      </c>
      <c r="R14" s="19">
        <f>R13+Q14</f>
        <v>99.999999999999986</v>
      </c>
      <c r="S14" s="20">
        <f t="shared" si="2"/>
        <v>34.999999999999993</v>
      </c>
      <c r="T14" s="16">
        <f t="shared" si="9"/>
        <v>99.817624521072787</v>
      </c>
      <c r="U14" s="65">
        <v>100</v>
      </c>
      <c r="V14" s="65">
        <v>100</v>
      </c>
      <c r="W14" s="66">
        <v>100</v>
      </c>
      <c r="X14" s="67">
        <v>100</v>
      </c>
      <c r="Y14" s="3"/>
      <c r="Z14" s="4"/>
      <c r="AA14" s="4"/>
      <c r="AB14" s="5"/>
      <c r="AC14" s="5"/>
      <c r="AD14" s="1"/>
    </row>
    <row r="15" spans="1:30" ht="15" customHeight="1" thickBot="1" x14ac:dyDescent="0.25">
      <c r="A15" s="390">
        <v>3.7499999999999999E-2</v>
      </c>
      <c r="B15" s="314">
        <v>1</v>
      </c>
      <c r="C15" s="315">
        <v>1</v>
      </c>
      <c r="D15" s="69">
        <f t="shared" si="3"/>
        <v>1</v>
      </c>
      <c r="E15" s="70">
        <f t="shared" si="4"/>
        <v>0.17777777777777778</v>
      </c>
      <c r="F15" s="71">
        <f t="shared" si="10"/>
        <v>100</v>
      </c>
      <c r="G15" s="21">
        <f t="shared" si="0"/>
        <v>25</v>
      </c>
      <c r="H15" s="314">
        <v>3</v>
      </c>
      <c r="I15" s="315">
        <v>1</v>
      </c>
      <c r="J15" s="69">
        <f t="shared" si="5"/>
        <v>2</v>
      </c>
      <c r="K15" s="70">
        <f t="shared" si="6"/>
        <v>0.34482758620689657</v>
      </c>
      <c r="L15" s="71">
        <f>L14+K15</f>
        <v>99.999999999999986</v>
      </c>
      <c r="M15" s="21">
        <f t="shared" si="1"/>
        <v>39.999999999999993</v>
      </c>
      <c r="N15" s="314"/>
      <c r="O15" s="315"/>
      <c r="P15" s="69">
        <f t="shared" si="7"/>
        <v>0</v>
      </c>
      <c r="Q15" s="70">
        <f t="shared" si="8"/>
        <v>0</v>
      </c>
      <c r="R15" s="71">
        <f>R14+Q15</f>
        <v>99.999999999999986</v>
      </c>
      <c r="S15" s="21">
        <f t="shared" si="2"/>
        <v>34.999999999999993</v>
      </c>
      <c r="T15" s="72">
        <f t="shared" si="9"/>
        <v>100</v>
      </c>
      <c r="U15" s="65">
        <v>100</v>
      </c>
      <c r="V15" s="65">
        <v>100</v>
      </c>
      <c r="W15" s="65">
        <v>100</v>
      </c>
      <c r="X15" s="68">
        <v>100</v>
      </c>
      <c r="Y15" s="6"/>
      <c r="Z15" s="7"/>
      <c r="AA15" s="7"/>
      <c r="AB15" s="7"/>
      <c r="AC15" s="7"/>
      <c r="AD15" s="1"/>
    </row>
    <row r="16" spans="1:30" ht="15" customHeight="1" thickBot="1" x14ac:dyDescent="0.25">
      <c r="A16" s="73" t="s">
        <v>1</v>
      </c>
      <c r="B16" s="74">
        <f>SUM(B6:B15)</f>
        <v>560</v>
      </c>
      <c r="C16" s="75">
        <f>SUM(C6:C15)</f>
        <v>565</v>
      </c>
      <c r="D16" s="75">
        <f>SUM(D6:D15)</f>
        <v>562.5</v>
      </c>
      <c r="E16" s="76">
        <f>SUM(E6:E15)</f>
        <v>100</v>
      </c>
      <c r="F16" s="76"/>
      <c r="G16" s="77"/>
      <c r="H16" s="74">
        <f>SUM(H6:H15)</f>
        <v>580</v>
      </c>
      <c r="I16" s="75">
        <f>SUM(I6:I15)</f>
        <v>580</v>
      </c>
      <c r="J16" s="75">
        <f>SUM(J6:J15)</f>
        <v>580</v>
      </c>
      <c r="K16" s="76">
        <f>SUM(K6:K15)</f>
        <v>99.999999999999986</v>
      </c>
      <c r="L16" s="76"/>
      <c r="M16" s="77"/>
      <c r="N16" s="74">
        <f>SUM(N6:N15)</f>
        <v>315</v>
      </c>
      <c r="O16" s="75">
        <f>SUM(O6:O15)</f>
        <v>404</v>
      </c>
      <c r="P16" s="75">
        <f>SUM(P6:P15)</f>
        <v>359.5</v>
      </c>
      <c r="Q16" s="76">
        <f>SUM(Q6:Q15)</f>
        <v>99.999999999999986</v>
      </c>
      <c r="R16" s="76"/>
      <c r="S16" s="77"/>
      <c r="T16" s="78">
        <f>(G18+M18+S18)/100</f>
        <v>1</v>
      </c>
      <c r="U16" s="509"/>
      <c r="V16" s="509"/>
      <c r="W16" s="510"/>
      <c r="X16" s="79"/>
    </row>
    <row r="17" spans="1:24" ht="15" thickBot="1" x14ac:dyDescent="0.2">
      <c r="A17" s="9" t="s">
        <v>7</v>
      </c>
      <c r="B17" s="503">
        <f>(F6+F8+F9+F10+F11+F12+F13)/100</f>
        <v>0.77155555555555566</v>
      </c>
      <c r="C17" s="504"/>
      <c r="D17" s="22"/>
      <c r="E17" s="11"/>
      <c r="F17" s="11"/>
      <c r="G17" s="11"/>
      <c r="H17" s="503">
        <f>(L6+L8+L9+L10+L11+L12+L13)/100</f>
        <v>2.6508620689655169</v>
      </c>
      <c r="I17" s="504"/>
      <c r="J17" s="22"/>
      <c r="K17" s="11"/>
      <c r="L17" s="11"/>
      <c r="M17" s="11"/>
      <c r="N17" s="503">
        <f>(R6+R8+R9+R10+R11+R12+R13)/100</f>
        <v>4.9248956884561883</v>
      </c>
      <c r="O17" s="504"/>
      <c r="P17" s="22"/>
      <c r="Q17" s="11"/>
      <c r="R17" s="11"/>
      <c r="S17" s="11"/>
      <c r="T17" s="363">
        <f>(T6+T8+T9+T10+T11+T12+T13)/100</f>
        <v>2.9769472074347618</v>
      </c>
      <c r="U17" s="364">
        <f t="shared" ref="U17:X17" si="13">(U6+U8+U9+U10+U11+U12+U13)/100</f>
        <v>1.55</v>
      </c>
      <c r="V17" s="364">
        <f t="shared" si="13"/>
        <v>2.2000000000000002</v>
      </c>
      <c r="W17" s="364">
        <f t="shared" si="13"/>
        <v>2.9</v>
      </c>
      <c r="X17" s="365">
        <f t="shared" si="13"/>
        <v>3.5</v>
      </c>
    </row>
    <row r="18" spans="1:24" ht="17" thickBot="1" x14ac:dyDescent="0.25">
      <c r="A18" s="3"/>
      <c r="B18" s="507" t="s">
        <v>151</v>
      </c>
      <c r="C18" s="508"/>
      <c r="D18" s="508"/>
      <c r="E18" s="508"/>
      <c r="F18" s="508"/>
      <c r="G18" s="367">
        <v>25</v>
      </c>
      <c r="H18" s="507" t="s">
        <v>152</v>
      </c>
      <c r="I18" s="508"/>
      <c r="J18" s="508"/>
      <c r="K18" s="508"/>
      <c r="L18" s="508"/>
      <c r="M18" s="367">
        <v>40</v>
      </c>
      <c r="N18" s="507" t="s">
        <v>153</v>
      </c>
      <c r="O18" s="508"/>
      <c r="P18" s="508"/>
      <c r="Q18" s="508"/>
      <c r="R18" s="508"/>
      <c r="S18" s="368">
        <f>100-G18-M18</f>
        <v>35</v>
      </c>
      <c r="T18" s="22"/>
      <c r="U18" s="11"/>
      <c r="V18" s="11"/>
      <c r="W18" s="11"/>
      <c r="X18" s="11"/>
    </row>
    <row r="19" spans="1:24" ht="14" x14ac:dyDescent="0.15">
      <c r="A19" s="3"/>
      <c r="B19" s="22"/>
      <c r="C19" s="22"/>
      <c r="D19" s="22"/>
      <c r="E19" s="11"/>
      <c r="F19" s="11"/>
      <c r="G19" s="11"/>
      <c r="H19" s="22"/>
      <c r="I19" s="22"/>
      <c r="J19" s="22"/>
      <c r="K19" s="11"/>
      <c r="L19" s="11"/>
      <c r="M19" s="11"/>
      <c r="N19" s="22"/>
      <c r="O19" s="22"/>
      <c r="P19" s="22"/>
      <c r="Q19" s="11"/>
      <c r="R19" s="11"/>
      <c r="S19" s="11"/>
      <c r="T19" s="22"/>
      <c r="U19" s="11"/>
      <c r="V19" s="11"/>
      <c r="W19" s="11"/>
      <c r="X19" s="11"/>
    </row>
    <row r="20" spans="1:24" ht="14" customHeight="1" x14ac:dyDescent="0.15"/>
    <row r="21" spans="1:24" ht="14" customHeight="1" x14ac:dyDescent="0.15"/>
    <row r="22" spans="1:24" ht="14" customHeight="1" x14ac:dyDescent="0.15"/>
    <row r="23" spans="1:24" ht="14" customHeight="1" x14ac:dyDescent="0.15"/>
    <row r="24" spans="1:24" ht="14" customHeight="1" x14ac:dyDescent="0.15"/>
    <row r="25" spans="1:24" ht="14" customHeight="1" x14ac:dyDescent="0.15"/>
    <row r="26" spans="1:24" ht="14" customHeight="1" x14ac:dyDescent="0.15"/>
    <row r="27" spans="1:24" ht="14" customHeight="1" x14ac:dyDescent="0.15"/>
    <row r="28" spans="1:24" ht="14" customHeight="1" x14ac:dyDescent="0.15"/>
    <row r="29" spans="1:24" ht="14" customHeight="1" x14ac:dyDescent="0.15"/>
    <row r="30" spans="1:24" ht="14" customHeight="1" x14ac:dyDescent="0.15"/>
    <row r="31" spans="1:24" ht="14" customHeight="1" x14ac:dyDescent="0.15"/>
    <row r="32" spans="1:24" ht="14" customHeight="1" x14ac:dyDescent="0.15"/>
    <row r="33" spans="26:27" ht="14" customHeight="1" x14ac:dyDescent="0.15"/>
    <row r="34" spans="26:27" ht="14" customHeight="1" x14ac:dyDescent="0.15">
      <c r="Z34" t="s">
        <v>4</v>
      </c>
    </row>
    <row r="35" spans="26:27" ht="14" customHeight="1" x14ac:dyDescent="0.15">
      <c r="Z35" s="2"/>
    </row>
    <row r="36" spans="26:27" ht="14" customHeight="1" x14ac:dyDescent="0.15"/>
    <row r="37" spans="26:27" ht="14" customHeight="1" x14ac:dyDescent="0.15"/>
    <row r="38" spans="26:27" ht="14" customHeight="1" x14ac:dyDescent="0.15"/>
    <row r="39" spans="26:27" ht="14" customHeight="1" x14ac:dyDescent="0.15"/>
    <row r="40" spans="26:27" ht="14" customHeight="1" x14ac:dyDescent="0.15"/>
    <row r="41" spans="26:27" ht="14" customHeight="1" x14ac:dyDescent="0.15"/>
    <row r="42" spans="26:27" ht="14" customHeight="1" x14ac:dyDescent="0.15"/>
    <row r="43" spans="26:27" ht="18" customHeight="1" x14ac:dyDescent="0.15">
      <c r="AA43" t="s">
        <v>4</v>
      </c>
    </row>
    <row r="44" spans="26:27" ht="18" customHeight="1" x14ac:dyDescent="0.15"/>
    <row r="45" spans="26:27" ht="18" customHeight="1" x14ac:dyDescent="0.15"/>
    <row r="46" spans="26:27" ht="18" customHeight="1" x14ac:dyDescent="0.15"/>
    <row r="47" spans="26:27" ht="18" customHeight="1" x14ac:dyDescent="0.15"/>
    <row r="48" spans="26:27" ht="18" customHeight="1" x14ac:dyDescent="0.15"/>
  </sheetData>
  <mergeCells count="17">
    <mergeCell ref="H18:L18"/>
    <mergeCell ref="N17:O17"/>
    <mergeCell ref="H17:I17"/>
    <mergeCell ref="B17:C17"/>
    <mergeCell ref="B18:F18"/>
    <mergeCell ref="N18:R18"/>
    <mergeCell ref="U16:W16"/>
    <mergeCell ref="A2:U2"/>
    <mergeCell ref="W2:X2"/>
    <mergeCell ref="A3:A5"/>
    <mergeCell ref="T3:X3"/>
    <mergeCell ref="T4:T5"/>
    <mergeCell ref="U4:V4"/>
    <mergeCell ref="W4:X4"/>
    <mergeCell ref="N3:S4"/>
    <mergeCell ref="H3:M4"/>
    <mergeCell ref="B3:G4"/>
  </mergeCells>
  <pageMargins left="0.51181102362204722" right="0" top="1.1811023622047245" bottom="0" header="0.51181102362204722" footer="0.51181102362204722"/>
  <pageSetup paperSize="9" scale="64" orientation="landscape" horizontalDpi="300" verticalDpi="300" r:id="rId1"/>
  <headerFooter alignWithMargins="0">
    <oddFooter>&amp;C&amp;1#&amp;"Calibri"&amp;10&amp;KFF0000This content is Confidential.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78EC-045D-46A4-A061-15BD6CB8B2ED}">
  <sheetPr codeName="Planilha12">
    <tabColor rgb="FFFFC000"/>
  </sheetPr>
  <dimension ref="A2:Q27"/>
  <sheetViews>
    <sheetView showGridLines="0" zoomScale="80" zoomScaleNormal="80" workbookViewId="0">
      <selection activeCell="T26" sqref="T26"/>
    </sheetView>
  </sheetViews>
  <sheetFormatPr baseColWidth="10" defaultColWidth="12.5" defaultRowHeight="16" x14ac:dyDescent="0.2"/>
  <cols>
    <col min="1" max="16384" width="12.5" style="431"/>
  </cols>
  <sheetData>
    <row r="2" spans="1:17" ht="17" thickBot="1" x14ac:dyDescent="0.25"/>
    <row r="3" spans="1:17" ht="17" customHeight="1" thickBot="1" x14ac:dyDescent="0.25">
      <c r="A3" s="526" t="s">
        <v>169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8" t="s">
        <v>0</v>
      </c>
      <c r="M3" s="528"/>
      <c r="N3" s="528"/>
      <c r="O3" s="528"/>
      <c r="P3" s="529"/>
    </row>
    <row r="4" spans="1:17" ht="16" customHeight="1" x14ac:dyDescent="0.2">
      <c r="A4" s="707" t="s">
        <v>184</v>
      </c>
      <c r="B4" s="530" t="s">
        <v>48</v>
      </c>
      <c r="C4" s="531"/>
      <c r="D4" s="531"/>
      <c r="E4" s="531"/>
      <c r="F4" s="532"/>
      <c r="G4" s="536" t="s">
        <v>170</v>
      </c>
      <c r="H4" s="537"/>
      <c r="I4" s="537"/>
      <c r="J4" s="537"/>
      <c r="K4" s="537"/>
      <c r="L4" s="537"/>
      <c r="M4" s="537"/>
      <c r="N4" s="537"/>
      <c r="O4" s="537"/>
      <c r="P4" s="538"/>
    </row>
    <row r="5" spans="1:17" ht="17" thickBot="1" x14ac:dyDescent="0.25">
      <c r="A5" s="708"/>
      <c r="B5" s="533"/>
      <c r="C5" s="534"/>
      <c r="D5" s="534"/>
      <c r="E5" s="534"/>
      <c r="F5" s="535"/>
      <c r="G5" s="539" t="s">
        <v>171</v>
      </c>
      <c r="H5" s="540"/>
      <c r="I5" s="540"/>
      <c r="J5" s="540"/>
      <c r="K5" s="540"/>
      <c r="L5" s="540"/>
      <c r="M5" s="540"/>
      <c r="N5" s="540"/>
      <c r="O5" s="540"/>
      <c r="P5" s="541"/>
    </row>
    <row r="6" spans="1:17" ht="30" customHeight="1" x14ac:dyDescent="0.2">
      <c r="A6" s="708"/>
      <c r="B6" s="542" t="s">
        <v>27</v>
      </c>
      <c r="C6" s="544" t="s">
        <v>28</v>
      </c>
      <c r="D6" s="544" t="s">
        <v>172</v>
      </c>
      <c r="E6" s="544" t="s">
        <v>29</v>
      </c>
      <c r="F6" s="520" t="s">
        <v>30</v>
      </c>
      <c r="G6" s="522" t="s">
        <v>173</v>
      </c>
      <c r="H6" s="523"/>
      <c r="I6" s="522" t="s">
        <v>174</v>
      </c>
      <c r="J6" s="524"/>
      <c r="K6" s="525" t="s">
        <v>175</v>
      </c>
      <c r="L6" s="523"/>
      <c r="M6" s="522" t="s">
        <v>176</v>
      </c>
      <c r="N6" s="524"/>
      <c r="O6" s="525" t="s">
        <v>177</v>
      </c>
      <c r="P6" s="524"/>
    </row>
    <row r="7" spans="1:17" ht="18" thickBot="1" x14ac:dyDescent="0.25">
      <c r="A7" s="709"/>
      <c r="B7" s="543"/>
      <c r="C7" s="545"/>
      <c r="D7" s="545"/>
      <c r="E7" s="545"/>
      <c r="F7" s="521"/>
      <c r="G7" s="432" t="s">
        <v>178</v>
      </c>
      <c r="H7" s="433" t="s">
        <v>179</v>
      </c>
      <c r="I7" s="432" t="s">
        <v>178</v>
      </c>
      <c r="J7" s="434" t="s">
        <v>179</v>
      </c>
      <c r="K7" s="435" t="s">
        <v>178</v>
      </c>
      <c r="L7" s="433" t="s">
        <v>179</v>
      </c>
      <c r="M7" s="432" t="s">
        <v>178</v>
      </c>
      <c r="N7" s="434" t="s">
        <v>179</v>
      </c>
      <c r="O7" s="435" t="s">
        <v>178</v>
      </c>
      <c r="P7" s="434" t="s">
        <v>179</v>
      </c>
    </row>
    <row r="8" spans="1:17" x14ac:dyDescent="0.2">
      <c r="A8" s="436">
        <v>75</v>
      </c>
      <c r="B8" s="437"/>
      <c r="C8" s="438"/>
      <c r="D8" s="439">
        <f t="shared" ref="D8:D15" si="0">(B8+C8)/2</f>
        <v>0</v>
      </c>
      <c r="E8" s="440">
        <f t="shared" ref="E8:E25" si="1">D8/$D$26*100</f>
        <v>0</v>
      </c>
      <c r="F8" s="441">
        <f>E8</f>
        <v>0</v>
      </c>
      <c r="G8" s="442">
        <v>0</v>
      </c>
      <c r="H8" s="443">
        <v>0</v>
      </c>
      <c r="I8" s="442">
        <v>0</v>
      </c>
      <c r="J8" s="444">
        <v>0</v>
      </c>
      <c r="K8" s="443">
        <v>0</v>
      </c>
      <c r="L8" s="443">
        <v>0</v>
      </c>
      <c r="M8" s="442">
        <v>0</v>
      </c>
      <c r="N8" s="444">
        <v>0</v>
      </c>
      <c r="O8" s="443">
        <v>0</v>
      </c>
      <c r="P8" s="444">
        <v>5</v>
      </c>
    </row>
    <row r="9" spans="1:17" x14ac:dyDescent="0.2">
      <c r="A9" s="445">
        <v>63</v>
      </c>
      <c r="B9" s="446"/>
      <c r="C9" s="447"/>
      <c r="D9" s="448">
        <f t="shared" si="0"/>
        <v>0</v>
      </c>
      <c r="E9" s="449">
        <f t="shared" si="1"/>
        <v>0</v>
      </c>
      <c r="F9" s="450">
        <f t="shared" ref="F9:F25" si="2">F8+E9</f>
        <v>0</v>
      </c>
      <c r="G9" s="451">
        <v>0</v>
      </c>
      <c r="H9" s="452">
        <v>0</v>
      </c>
      <c r="I9" s="451">
        <v>0</v>
      </c>
      <c r="J9" s="453">
        <v>0</v>
      </c>
      <c r="K9" s="452">
        <v>0</v>
      </c>
      <c r="L9" s="452">
        <v>0</v>
      </c>
      <c r="M9" s="451">
        <v>0</v>
      </c>
      <c r="N9" s="453">
        <v>0</v>
      </c>
      <c r="O9" s="452">
        <v>5</v>
      </c>
      <c r="P9" s="453">
        <v>30</v>
      </c>
    </row>
    <row r="10" spans="1:17" x14ac:dyDescent="0.2">
      <c r="A10" s="445">
        <v>50</v>
      </c>
      <c r="B10" s="446"/>
      <c r="C10" s="447"/>
      <c r="D10" s="448">
        <f t="shared" si="0"/>
        <v>0</v>
      </c>
      <c r="E10" s="449">
        <f t="shared" si="1"/>
        <v>0</v>
      </c>
      <c r="F10" s="450">
        <f t="shared" si="2"/>
        <v>0</v>
      </c>
      <c r="G10" s="451">
        <v>0</v>
      </c>
      <c r="H10" s="452">
        <v>0</v>
      </c>
      <c r="I10" s="451">
        <v>0</v>
      </c>
      <c r="J10" s="453">
        <v>0</v>
      </c>
      <c r="K10" s="452">
        <v>0</v>
      </c>
      <c r="L10" s="452">
        <v>0</v>
      </c>
      <c r="M10" s="451">
        <v>0</v>
      </c>
      <c r="N10" s="453">
        <v>5</v>
      </c>
      <c r="O10" s="452">
        <v>75</v>
      </c>
      <c r="P10" s="453">
        <v>100</v>
      </c>
    </row>
    <row r="11" spans="1:17" x14ac:dyDescent="0.2">
      <c r="A11" s="454">
        <v>37.5</v>
      </c>
      <c r="B11" s="446"/>
      <c r="C11" s="447"/>
      <c r="D11" s="448">
        <f t="shared" si="0"/>
        <v>0</v>
      </c>
      <c r="E11" s="449">
        <f t="shared" si="1"/>
        <v>0</v>
      </c>
      <c r="F11" s="450">
        <f t="shared" si="2"/>
        <v>0</v>
      </c>
      <c r="G11" s="451">
        <v>0</v>
      </c>
      <c r="H11" s="452">
        <v>0</v>
      </c>
      <c r="I11" s="451">
        <v>0</v>
      </c>
      <c r="J11" s="453">
        <v>0</v>
      </c>
      <c r="K11" s="452">
        <v>0</v>
      </c>
      <c r="L11" s="452">
        <v>0</v>
      </c>
      <c r="M11" s="451">
        <v>5</v>
      </c>
      <c r="N11" s="453">
        <v>30</v>
      </c>
      <c r="O11" s="452">
        <v>90</v>
      </c>
      <c r="P11" s="453">
        <v>100</v>
      </c>
    </row>
    <row r="12" spans="1:17" x14ac:dyDescent="0.2">
      <c r="A12" s="445">
        <v>31.5</v>
      </c>
      <c r="B12" s="446"/>
      <c r="C12" s="447"/>
      <c r="D12" s="448">
        <f t="shared" si="0"/>
        <v>0</v>
      </c>
      <c r="E12" s="449">
        <f t="shared" si="1"/>
        <v>0</v>
      </c>
      <c r="F12" s="450">
        <f t="shared" si="2"/>
        <v>0</v>
      </c>
      <c r="G12" s="451">
        <v>0</v>
      </c>
      <c r="H12" s="452">
        <v>0</v>
      </c>
      <c r="I12" s="451">
        <v>0</v>
      </c>
      <c r="J12" s="453">
        <v>0</v>
      </c>
      <c r="K12" s="452">
        <v>0</v>
      </c>
      <c r="L12" s="452">
        <v>5</v>
      </c>
      <c r="M12" s="451">
        <v>75</v>
      </c>
      <c r="N12" s="453">
        <v>100</v>
      </c>
      <c r="O12" s="452">
        <v>95</v>
      </c>
      <c r="P12" s="453">
        <v>100</v>
      </c>
    </row>
    <row r="13" spans="1:17" x14ac:dyDescent="0.2">
      <c r="A13" s="455">
        <v>25</v>
      </c>
      <c r="B13" s="446"/>
      <c r="C13" s="447"/>
      <c r="D13" s="448">
        <f t="shared" si="0"/>
        <v>0</v>
      </c>
      <c r="E13" s="449">
        <f t="shared" si="1"/>
        <v>0</v>
      </c>
      <c r="F13" s="450">
        <f t="shared" si="2"/>
        <v>0</v>
      </c>
      <c r="G13" s="451">
        <v>0</v>
      </c>
      <c r="H13" s="452">
        <v>0</v>
      </c>
      <c r="I13" s="451">
        <v>0</v>
      </c>
      <c r="J13" s="453">
        <v>5</v>
      </c>
      <c r="K13" s="452">
        <v>5</v>
      </c>
      <c r="L13" s="452">
        <v>25</v>
      </c>
      <c r="M13" s="451">
        <v>87</v>
      </c>
      <c r="N13" s="453">
        <v>100</v>
      </c>
      <c r="O13" s="452">
        <v>100</v>
      </c>
      <c r="P13" s="453">
        <v>100</v>
      </c>
    </row>
    <row r="14" spans="1:17" x14ac:dyDescent="0.2">
      <c r="A14" s="456">
        <v>19</v>
      </c>
      <c r="B14" s="446">
        <v>98.7</v>
      </c>
      <c r="C14" s="447">
        <v>98.7</v>
      </c>
      <c r="D14" s="448">
        <f t="shared" si="0"/>
        <v>98.7</v>
      </c>
      <c r="E14" s="449">
        <f t="shared" si="1"/>
        <v>3.8739304497998268</v>
      </c>
      <c r="F14" s="450">
        <f t="shared" si="2"/>
        <v>3.8739304497998268</v>
      </c>
      <c r="G14" s="451">
        <v>0</v>
      </c>
      <c r="H14" s="452">
        <v>0</v>
      </c>
      <c r="I14" s="451">
        <v>2</v>
      </c>
      <c r="J14" s="453">
        <v>15</v>
      </c>
      <c r="K14" s="452">
        <v>65</v>
      </c>
      <c r="L14" s="452">
        <v>95</v>
      </c>
      <c r="M14" s="451">
        <v>95</v>
      </c>
      <c r="N14" s="453">
        <v>100</v>
      </c>
      <c r="O14" s="452">
        <v>100</v>
      </c>
      <c r="P14" s="453">
        <v>100</v>
      </c>
    </row>
    <row r="15" spans="1:17" x14ac:dyDescent="0.2">
      <c r="A15" s="455">
        <v>12.5</v>
      </c>
      <c r="B15" s="446">
        <v>124</v>
      </c>
      <c r="C15" s="447">
        <v>124</v>
      </c>
      <c r="D15" s="448">
        <f t="shared" si="0"/>
        <v>124</v>
      </c>
      <c r="E15" s="449">
        <f t="shared" si="1"/>
        <v>4.8669440301436531</v>
      </c>
      <c r="F15" s="450">
        <f t="shared" si="2"/>
        <v>8.7408744799434803</v>
      </c>
      <c r="G15" s="451">
        <v>0</v>
      </c>
      <c r="H15" s="452">
        <v>5</v>
      </c>
      <c r="I15" s="451">
        <v>40</v>
      </c>
      <c r="J15" s="453">
        <v>65</v>
      </c>
      <c r="K15" s="452">
        <v>92</v>
      </c>
      <c r="L15" s="452">
        <v>100</v>
      </c>
      <c r="M15" s="451">
        <v>100</v>
      </c>
      <c r="N15" s="453">
        <v>100</v>
      </c>
      <c r="O15" s="452">
        <v>100</v>
      </c>
      <c r="P15" s="453">
        <v>100</v>
      </c>
    </row>
    <row r="16" spans="1:17" ht="17" customHeight="1" x14ac:dyDescent="0.2">
      <c r="A16" s="456">
        <v>9.5</v>
      </c>
      <c r="B16" s="457">
        <v>459.4</v>
      </c>
      <c r="C16" s="458">
        <v>459.4</v>
      </c>
      <c r="D16" s="448">
        <f>(B16+C16)/2</f>
        <v>459.4</v>
      </c>
      <c r="E16" s="449">
        <f t="shared" si="1"/>
        <v>18.031242640709628</v>
      </c>
      <c r="F16" s="450">
        <f t="shared" si="2"/>
        <v>26.772117120653107</v>
      </c>
      <c r="G16" s="451">
        <v>2</v>
      </c>
      <c r="H16" s="452">
        <v>15</v>
      </c>
      <c r="I16" s="451">
        <v>80</v>
      </c>
      <c r="J16" s="453">
        <v>100</v>
      </c>
      <c r="K16" s="452">
        <v>95</v>
      </c>
      <c r="L16" s="452">
        <v>100</v>
      </c>
      <c r="M16" s="451">
        <v>100</v>
      </c>
      <c r="N16" s="453">
        <v>100</v>
      </c>
      <c r="O16" s="452">
        <v>100</v>
      </c>
      <c r="P16" s="453">
        <v>100</v>
      </c>
      <c r="Q16" s="459"/>
    </row>
    <row r="17" spans="1:17" x14ac:dyDescent="0.2">
      <c r="A17" s="460">
        <v>6.3</v>
      </c>
      <c r="B17" s="457">
        <v>512</v>
      </c>
      <c r="C17" s="458">
        <v>512</v>
      </c>
      <c r="D17" s="448">
        <f t="shared" ref="D17:D25" si="3">(B17+C17)/2</f>
        <v>512</v>
      </c>
      <c r="E17" s="449">
        <f t="shared" si="1"/>
        <v>20.095768898657663</v>
      </c>
      <c r="F17" s="450">
        <f t="shared" si="2"/>
        <v>46.867886019310774</v>
      </c>
      <c r="G17" s="451">
        <v>40</v>
      </c>
      <c r="H17" s="452">
        <v>65</v>
      </c>
      <c r="I17" s="451">
        <v>92</v>
      </c>
      <c r="J17" s="453">
        <v>100</v>
      </c>
      <c r="K17" s="452">
        <v>100</v>
      </c>
      <c r="L17" s="452">
        <v>100</v>
      </c>
      <c r="M17" s="451">
        <v>100</v>
      </c>
      <c r="N17" s="453">
        <v>100</v>
      </c>
      <c r="O17" s="452">
        <v>100</v>
      </c>
      <c r="P17" s="453">
        <v>100</v>
      </c>
      <c r="Q17" s="459"/>
    </row>
    <row r="18" spans="1:17" x14ac:dyDescent="0.2">
      <c r="A18" s="456">
        <v>4.8</v>
      </c>
      <c r="B18" s="457">
        <v>286.7</v>
      </c>
      <c r="C18" s="458">
        <v>286.7</v>
      </c>
      <c r="D18" s="448">
        <f t="shared" si="3"/>
        <v>286.7</v>
      </c>
      <c r="E18" s="449">
        <f t="shared" si="1"/>
        <v>11.252845592275687</v>
      </c>
      <c r="F18" s="450">
        <f t="shared" si="2"/>
        <v>58.120731611586464</v>
      </c>
      <c r="G18" s="451">
        <v>80</v>
      </c>
      <c r="H18" s="452">
        <v>100</v>
      </c>
      <c r="I18" s="451">
        <v>95</v>
      </c>
      <c r="J18" s="453">
        <v>100</v>
      </c>
      <c r="K18" s="452">
        <v>100</v>
      </c>
      <c r="L18" s="452">
        <v>100</v>
      </c>
      <c r="M18" s="451">
        <v>100</v>
      </c>
      <c r="N18" s="453">
        <v>100</v>
      </c>
      <c r="O18" s="452">
        <v>100</v>
      </c>
      <c r="P18" s="453">
        <v>100</v>
      </c>
      <c r="Q18" s="459"/>
    </row>
    <row r="19" spans="1:17" x14ac:dyDescent="0.2">
      <c r="A19" s="456">
        <v>2.4</v>
      </c>
      <c r="B19" s="457">
        <v>356</v>
      </c>
      <c r="C19" s="458">
        <v>356</v>
      </c>
      <c r="D19" s="448">
        <f t="shared" si="3"/>
        <v>356</v>
      </c>
      <c r="E19" s="449">
        <f t="shared" si="1"/>
        <v>13.972839312347906</v>
      </c>
      <c r="F19" s="450">
        <f t="shared" si="2"/>
        <v>72.093570923934365</v>
      </c>
      <c r="G19" s="451">
        <v>95</v>
      </c>
      <c r="H19" s="452">
        <v>100</v>
      </c>
      <c r="I19" s="451">
        <v>100</v>
      </c>
      <c r="J19" s="453">
        <v>100</v>
      </c>
      <c r="K19" s="452">
        <v>100</v>
      </c>
      <c r="L19" s="452">
        <v>100</v>
      </c>
      <c r="M19" s="451">
        <v>100</v>
      </c>
      <c r="N19" s="453">
        <v>100</v>
      </c>
      <c r="O19" s="452">
        <v>100</v>
      </c>
      <c r="P19" s="453">
        <v>100</v>
      </c>
      <c r="Q19" s="459"/>
    </row>
    <row r="20" spans="1:17" x14ac:dyDescent="0.2">
      <c r="A20" s="456">
        <v>1.2</v>
      </c>
      <c r="B20" s="457">
        <v>441</v>
      </c>
      <c r="C20" s="458">
        <v>441</v>
      </c>
      <c r="D20" s="448">
        <f t="shared" si="3"/>
        <v>441</v>
      </c>
      <c r="E20" s="449">
        <f t="shared" si="1"/>
        <v>17.30905094591412</v>
      </c>
      <c r="F20" s="450">
        <f t="shared" si="2"/>
        <v>89.402621869848488</v>
      </c>
      <c r="G20" s="451">
        <v>100</v>
      </c>
      <c r="H20" s="452">
        <v>100</v>
      </c>
      <c r="I20" s="451">
        <v>100</v>
      </c>
      <c r="J20" s="453">
        <v>100</v>
      </c>
      <c r="K20" s="452">
        <v>100</v>
      </c>
      <c r="L20" s="452">
        <v>100</v>
      </c>
      <c r="M20" s="451">
        <v>100</v>
      </c>
      <c r="N20" s="453">
        <v>100</v>
      </c>
      <c r="O20" s="452">
        <v>100</v>
      </c>
      <c r="P20" s="453">
        <v>100</v>
      </c>
      <c r="Q20" s="459"/>
    </row>
    <row r="21" spans="1:17" x14ac:dyDescent="0.2">
      <c r="A21" s="456">
        <v>0.6</v>
      </c>
      <c r="B21" s="457">
        <v>0</v>
      </c>
      <c r="C21" s="458">
        <v>0</v>
      </c>
      <c r="D21" s="448">
        <f t="shared" si="3"/>
        <v>0</v>
      </c>
      <c r="E21" s="449">
        <f t="shared" si="1"/>
        <v>0</v>
      </c>
      <c r="F21" s="450">
        <f t="shared" si="2"/>
        <v>89.402621869848488</v>
      </c>
      <c r="G21" s="451">
        <v>100</v>
      </c>
      <c r="H21" s="452">
        <v>100</v>
      </c>
      <c r="I21" s="451">
        <v>100</v>
      </c>
      <c r="J21" s="453">
        <v>100</v>
      </c>
      <c r="K21" s="452">
        <v>100</v>
      </c>
      <c r="L21" s="452">
        <v>100</v>
      </c>
      <c r="M21" s="451">
        <v>100</v>
      </c>
      <c r="N21" s="453">
        <v>100</v>
      </c>
      <c r="O21" s="452">
        <v>100</v>
      </c>
      <c r="P21" s="453">
        <v>100</v>
      </c>
      <c r="Q21" s="459"/>
    </row>
    <row r="22" spans="1:17" x14ac:dyDescent="0.2">
      <c r="A22" s="456">
        <v>0.3</v>
      </c>
      <c r="B22" s="457">
        <v>270</v>
      </c>
      <c r="C22" s="458">
        <v>270</v>
      </c>
      <c r="D22" s="448">
        <f t="shared" si="3"/>
        <v>270</v>
      </c>
      <c r="E22" s="449">
        <f t="shared" si="1"/>
        <v>10.597378130151503</v>
      </c>
      <c r="F22" s="450">
        <f t="shared" si="2"/>
        <v>99.999999999999986</v>
      </c>
      <c r="G22" s="451">
        <v>100</v>
      </c>
      <c r="H22" s="452">
        <v>100</v>
      </c>
      <c r="I22" s="451">
        <v>100</v>
      </c>
      <c r="J22" s="453">
        <v>100</v>
      </c>
      <c r="K22" s="452">
        <v>100</v>
      </c>
      <c r="L22" s="452">
        <v>100</v>
      </c>
      <c r="M22" s="451">
        <v>100</v>
      </c>
      <c r="N22" s="453">
        <v>100</v>
      </c>
      <c r="O22" s="452">
        <v>100</v>
      </c>
      <c r="P22" s="453">
        <v>100</v>
      </c>
      <c r="Q22" s="459"/>
    </row>
    <row r="23" spans="1:17" x14ac:dyDescent="0.2">
      <c r="A23" s="456">
        <v>0.15</v>
      </c>
      <c r="B23" s="457">
        <v>0</v>
      </c>
      <c r="C23" s="458">
        <v>0</v>
      </c>
      <c r="D23" s="448">
        <f t="shared" si="3"/>
        <v>0</v>
      </c>
      <c r="E23" s="449">
        <f t="shared" si="1"/>
        <v>0</v>
      </c>
      <c r="F23" s="450">
        <f t="shared" si="2"/>
        <v>99.999999999999986</v>
      </c>
      <c r="G23" s="451">
        <v>100</v>
      </c>
      <c r="H23" s="452">
        <v>100</v>
      </c>
      <c r="I23" s="451">
        <v>100</v>
      </c>
      <c r="J23" s="453">
        <v>100</v>
      </c>
      <c r="K23" s="452">
        <v>100</v>
      </c>
      <c r="L23" s="452">
        <v>100</v>
      </c>
      <c r="M23" s="451">
        <v>100</v>
      </c>
      <c r="N23" s="453">
        <v>100</v>
      </c>
      <c r="O23" s="452">
        <v>100</v>
      </c>
      <c r="P23" s="453">
        <v>100</v>
      </c>
      <c r="Q23" s="459"/>
    </row>
    <row r="24" spans="1:17" x14ac:dyDescent="0.2">
      <c r="A24" s="460">
        <v>7.4999999999999997E-2</v>
      </c>
      <c r="B24" s="457">
        <v>0</v>
      </c>
      <c r="C24" s="458">
        <v>0</v>
      </c>
      <c r="D24" s="448">
        <f t="shared" si="3"/>
        <v>0</v>
      </c>
      <c r="E24" s="449">
        <f t="shared" si="1"/>
        <v>0</v>
      </c>
      <c r="F24" s="450">
        <f>F23+E24</f>
        <v>99.999999999999986</v>
      </c>
      <c r="G24" s="451">
        <v>100</v>
      </c>
      <c r="H24" s="452">
        <v>100</v>
      </c>
      <c r="I24" s="451">
        <v>100</v>
      </c>
      <c r="J24" s="453">
        <v>100</v>
      </c>
      <c r="K24" s="452">
        <v>100</v>
      </c>
      <c r="L24" s="452">
        <v>100</v>
      </c>
      <c r="M24" s="451">
        <v>100</v>
      </c>
      <c r="N24" s="453">
        <v>100</v>
      </c>
      <c r="O24" s="452">
        <v>100</v>
      </c>
      <c r="P24" s="453">
        <v>100</v>
      </c>
      <c r="Q24" s="459"/>
    </row>
    <row r="25" spans="1:17" x14ac:dyDescent="0.2">
      <c r="A25" s="460">
        <v>3.7499999999999999E-2</v>
      </c>
      <c r="B25" s="457">
        <v>0</v>
      </c>
      <c r="C25" s="458">
        <v>0</v>
      </c>
      <c r="D25" s="448">
        <f t="shared" si="3"/>
        <v>0</v>
      </c>
      <c r="E25" s="449">
        <f t="shared" si="1"/>
        <v>0</v>
      </c>
      <c r="F25" s="450">
        <f t="shared" si="2"/>
        <v>99.999999999999986</v>
      </c>
      <c r="G25" s="451">
        <v>100</v>
      </c>
      <c r="H25" s="452">
        <v>100</v>
      </c>
      <c r="I25" s="451">
        <v>100</v>
      </c>
      <c r="J25" s="453">
        <v>100</v>
      </c>
      <c r="K25" s="452">
        <v>100</v>
      </c>
      <c r="L25" s="452">
        <v>100</v>
      </c>
      <c r="M25" s="451">
        <v>100</v>
      </c>
      <c r="N25" s="453">
        <v>100</v>
      </c>
      <c r="O25" s="452">
        <v>100</v>
      </c>
      <c r="P25" s="453">
        <v>100</v>
      </c>
      <c r="Q25" s="461"/>
    </row>
    <row r="26" spans="1:17" ht="17" thickBot="1" x14ac:dyDescent="0.25">
      <c r="A26" s="462"/>
      <c r="B26" s="463">
        <f>SUM(B8:B25)</f>
        <v>2547.8000000000002</v>
      </c>
      <c r="C26" s="464">
        <f>SUM(C8:C25)</f>
        <v>2547.8000000000002</v>
      </c>
      <c r="D26" s="464">
        <f>SUM(D13:D25)</f>
        <v>2547.8000000000002</v>
      </c>
      <c r="E26" s="465">
        <f>SUM(E8:E25)</f>
        <v>99.999999999999986</v>
      </c>
      <c r="F26" s="466"/>
      <c r="G26" s="451">
        <v>100</v>
      </c>
      <c r="H26" s="452">
        <v>100</v>
      </c>
      <c r="I26" s="451">
        <v>100</v>
      </c>
      <c r="J26" s="453">
        <v>100</v>
      </c>
      <c r="K26" s="452">
        <v>100</v>
      </c>
      <c r="L26" s="452">
        <v>100</v>
      </c>
      <c r="M26" s="451">
        <v>100</v>
      </c>
      <c r="N26" s="453">
        <v>100</v>
      </c>
      <c r="O26" s="452">
        <v>100</v>
      </c>
      <c r="P26" s="453">
        <v>100</v>
      </c>
    </row>
    <row r="27" spans="1:17" ht="17" thickBot="1" x14ac:dyDescent="0.25">
      <c r="A27" s="467" t="s">
        <v>7</v>
      </c>
      <c r="B27" s="518">
        <f>(F8+F11+F14+F16+F18+F19+F20+F21+F22+F23)/100</f>
        <v>5.396655938456707</v>
      </c>
      <c r="C27" s="519"/>
      <c r="G27" s="468">
        <f>(G8+G11+G14+G16+G18+G19+G20+G21+G22+G23)/100</f>
        <v>5.77</v>
      </c>
      <c r="H27" s="469">
        <f t="shared" ref="H27:P27" si="4">(H8+H11+H14+H16+H18+H19+H20+H21+H22+H23)/100</f>
        <v>6.15</v>
      </c>
      <c r="I27" s="470">
        <f t="shared" si="4"/>
        <v>6.77</v>
      </c>
      <c r="J27" s="470">
        <f t="shared" si="4"/>
        <v>7.15</v>
      </c>
      <c r="K27" s="468">
        <f t="shared" si="4"/>
        <v>7.6</v>
      </c>
      <c r="L27" s="469">
        <f t="shared" si="4"/>
        <v>7.95</v>
      </c>
      <c r="M27" s="470">
        <f t="shared" si="4"/>
        <v>8</v>
      </c>
      <c r="N27" s="470">
        <f t="shared" si="4"/>
        <v>8.3000000000000007</v>
      </c>
      <c r="O27" s="468">
        <f t="shared" si="4"/>
        <v>8.9</v>
      </c>
      <c r="P27" s="469">
        <f t="shared" si="4"/>
        <v>9.0500000000000007</v>
      </c>
    </row>
  </sheetData>
  <mergeCells count="17">
    <mergeCell ref="M6:N6"/>
    <mergeCell ref="O6:P6"/>
    <mergeCell ref="A3:K3"/>
    <mergeCell ref="L3:P3"/>
    <mergeCell ref="A4:A7"/>
    <mergeCell ref="B4:F5"/>
    <mergeCell ref="G4:P4"/>
    <mergeCell ref="G5:P5"/>
    <mergeCell ref="B6:B7"/>
    <mergeCell ref="C6:C7"/>
    <mergeCell ref="D6:D7"/>
    <mergeCell ref="E6:E7"/>
    <mergeCell ref="B27:C27"/>
    <mergeCell ref="F6:F7"/>
    <mergeCell ref="G6:H6"/>
    <mergeCell ref="I6:J6"/>
    <mergeCell ref="K6:L6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&amp;C&amp;1#&amp;"Calibri"&amp;10&amp;KFF0000This content is Confidential.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C3BF-ABA8-4FC7-B066-024530EBEA37}">
  <sheetPr codeName="Planilha13">
    <tabColor rgb="FFFFC000"/>
  </sheetPr>
  <dimension ref="A3:Y29"/>
  <sheetViews>
    <sheetView showGridLines="0" zoomScale="80" zoomScaleNormal="80" workbookViewId="0">
      <selection activeCell="AB14" sqref="AB14"/>
    </sheetView>
  </sheetViews>
  <sheetFormatPr baseColWidth="10" defaultColWidth="9.83203125" defaultRowHeight="16" x14ac:dyDescent="0.2"/>
  <cols>
    <col min="1" max="1" width="12.33203125" style="431" customWidth="1"/>
    <col min="2" max="16384" width="9.83203125" style="431"/>
  </cols>
  <sheetData>
    <row r="3" spans="1:24" ht="17" thickBot="1" x14ac:dyDescent="0.25"/>
    <row r="4" spans="1:24" ht="17" customHeight="1" thickBot="1" x14ac:dyDescent="0.25">
      <c r="A4" s="526" t="s">
        <v>169</v>
      </c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27"/>
      <c r="O4" s="527"/>
      <c r="P4" s="527"/>
      <c r="Q4" s="527"/>
      <c r="R4" s="527"/>
      <c r="S4" s="527"/>
      <c r="T4" s="528" t="s">
        <v>0</v>
      </c>
      <c r="U4" s="528"/>
      <c r="V4" s="528"/>
      <c r="W4" s="528"/>
      <c r="X4" s="529"/>
    </row>
    <row r="5" spans="1:24" ht="16" customHeight="1" x14ac:dyDescent="0.2">
      <c r="A5" s="710" t="s">
        <v>184</v>
      </c>
      <c r="B5" s="555" t="s">
        <v>13</v>
      </c>
      <c r="C5" s="556"/>
      <c r="D5" s="556"/>
      <c r="E5" s="556"/>
      <c r="F5" s="556"/>
      <c r="G5" s="557"/>
      <c r="H5" s="555" t="s">
        <v>127</v>
      </c>
      <c r="I5" s="556"/>
      <c r="J5" s="556"/>
      <c r="K5" s="556"/>
      <c r="L5" s="556"/>
      <c r="M5" s="559"/>
      <c r="N5" s="560" t="s">
        <v>170</v>
      </c>
      <c r="O5" s="561"/>
      <c r="P5" s="561"/>
      <c r="Q5" s="561"/>
      <c r="R5" s="561"/>
      <c r="S5" s="561"/>
      <c r="T5" s="561"/>
      <c r="U5" s="561"/>
      <c r="V5" s="561"/>
      <c r="W5" s="561"/>
      <c r="X5" s="562"/>
    </row>
    <row r="6" spans="1:24" ht="17" thickBot="1" x14ac:dyDescent="0.25">
      <c r="A6" s="711"/>
      <c r="B6" s="533"/>
      <c r="C6" s="534"/>
      <c r="D6" s="534"/>
      <c r="E6" s="534"/>
      <c r="F6" s="534"/>
      <c r="G6" s="558"/>
      <c r="H6" s="533"/>
      <c r="I6" s="534"/>
      <c r="J6" s="534"/>
      <c r="K6" s="534"/>
      <c r="L6" s="534"/>
      <c r="M6" s="535"/>
      <c r="N6" s="563" t="s">
        <v>171</v>
      </c>
      <c r="O6" s="564"/>
      <c r="P6" s="564"/>
      <c r="Q6" s="564"/>
      <c r="R6" s="564"/>
      <c r="S6" s="564"/>
      <c r="T6" s="564"/>
      <c r="U6" s="564"/>
      <c r="V6" s="564"/>
      <c r="W6" s="564"/>
      <c r="X6" s="565"/>
    </row>
    <row r="7" spans="1:24" ht="30" customHeight="1" x14ac:dyDescent="0.2">
      <c r="A7" s="711"/>
      <c r="B7" s="542" t="s">
        <v>27</v>
      </c>
      <c r="C7" s="544" t="s">
        <v>28</v>
      </c>
      <c r="D7" s="544" t="s">
        <v>172</v>
      </c>
      <c r="E7" s="544" t="s">
        <v>29</v>
      </c>
      <c r="F7" s="544" t="s">
        <v>30</v>
      </c>
      <c r="G7" s="549" t="s">
        <v>180</v>
      </c>
      <c r="H7" s="542" t="s">
        <v>27</v>
      </c>
      <c r="I7" s="544" t="s">
        <v>28</v>
      </c>
      <c r="J7" s="544" t="s">
        <v>172</v>
      </c>
      <c r="K7" s="544" t="s">
        <v>29</v>
      </c>
      <c r="L7" s="544" t="s">
        <v>30</v>
      </c>
      <c r="M7" s="549" t="s">
        <v>180</v>
      </c>
      <c r="N7" s="566" t="s">
        <v>181</v>
      </c>
      <c r="O7" s="525" t="s">
        <v>173</v>
      </c>
      <c r="P7" s="523"/>
      <c r="Q7" s="522" t="s">
        <v>174</v>
      </c>
      <c r="R7" s="524"/>
      <c r="S7" s="525" t="s">
        <v>175</v>
      </c>
      <c r="T7" s="523"/>
      <c r="U7" s="522" t="s">
        <v>176</v>
      </c>
      <c r="V7" s="524"/>
      <c r="W7" s="525" t="s">
        <v>177</v>
      </c>
      <c r="X7" s="524"/>
    </row>
    <row r="8" spans="1:24" ht="18" thickBot="1" x14ac:dyDescent="0.25">
      <c r="A8" s="712"/>
      <c r="B8" s="551"/>
      <c r="C8" s="548"/>
      <c r="D8" s="548"/>
      <c r="E8" s="548"/>
      <c r="F8" s="548"/>
      <c r="G8" s="550"/>
      <c r="H8" s="551"/>
      <c r="I8" s="548"/>
      <c r="J8" s="548"/>
      <c r="K8" s="548"/>
      <c r="L8" s="548"/>
      <c r="M8" s="550"/>
      <c r="N8" s="567"/>
      <c r="O8" s="435" t="s">
        <v>178</v>
      </c>
      <c r="P8" s="433" t="s">
        <v>179</v>
      </c>
      <c r="Q8" s="432" t="s">
        <v>178</v>
      </c>
      <c r="R8" s="434" t="s">
        <v>179</v>
      </c>
      <c r="S8" s="435" t="s">
        <v>178</v>
      </c>
      <c r="T8" s="433" t="s">
        <v>179</v>
      </c>
      <c r="U8" s="432" t="s">
        <v>178</v>
      </c>
      <c r="V8" s="434" t="s">
        <v>179</v>
      </c>
      <c r="W8" s="435" t="s">
        <v>178</v>
      </c>
      <c r="X8" s="434" t="s">
        <v>179</v>
      </c>
    </row>
    <row r="9" spans="1:24" x14ac:dyDescent="0.2">
      <c r="A9" s="436">
        <v>75</v>
      </c>
      <c r="B9" s="471"/>
      <c r="C9" s="472"/>
      <c r="D9" s="473">
        <f t="shared" ref="D9:D16" si="0">(B9+C9)/2</f>
        <v>0</v>
      </c>
      <c r="E9" s="474">
        <f t="shared" ref="E9:E26" si="1">D9/$D$27*100</f>
        <v>0</v>
      </c>
      <c r="F9" s="474">
        <f>E9</f>
        <v>0</v>
      </c>
      <c r="G9" s="475">
        <f>$G$29*F9/100</f>
        <v>0</v>
      </c>
      <c r="H9" s="471"/>
      <c r="I9" s="472"/>
      <c r="J9" s="473">
        <f t="shared" ref="J9:J16" si="2">(H9+I9)/2</f>
        <v>0</v>
      </c>
      <c r="K9" s="474">
        <f t="shared" ref="K9:K26" si="3">J9/$D$27*100</f>
        <v>0</v>
      </c>
      <c r="L9" s="474">
        <f>K9</f>
        <v>0</v>
      </c>
      <c r="M9" s="475">
        <f>$M$29*L9/100</f>
        <v>0</v>
      </c>
      <c r="N9" s="476">
        <f>G9+M9</f>
        <v>0</v>
      </c>
      <c r="O9" s="443">
        <v>0</v>
      </c>
      <c r="P9" s="443">
        <v>0</v>
      </c>
      <c r="Q9" s="442">
        <v>0</v>
      </c>
      <c r="R9" s="444">
        <v>0</v>
      </c>
      <c r="S9" s="443">
        <v>0</v>
      </c>
      <c r="T9" s="443">
        <v>0</v>
      </c>
      <c r="U9" s="442">
        <v>0</v>
      </c>
      <c r="V9" s="444">
        <v>0</v>
      </c>
      <c r="W9" s="443">
        <v>0</v>
      </c>
      <c r="X9" s="444">
        <v>5</v>
      </c>
    </row>
    <row r="10" spans="1:24" x14ac:dyDescent="0.2">
      <c r="A10" s="445">
        <v>63</v>
      </c>
      <c r="B10" s="446"/>
      <c r="C10" s="447"/>
      <c r="D10" s="448">
        <f t="shared" si="0"/>
        <v>0</v>
      </c>
      <c r="E10" s="449">
        <f t="shared" si="1"/>
        <v>0</v>
      </c>
      <c r="F10" s="449">
        <f t="shared" ref="F10:F26" si="4">F9+E10</f>
        <v>0</v>
      </c>
      <c r="G10" s="450">
        <f t="shared" ref="G10:G26" si="5">$G$29*F10/100</f>
        <v>0</v>
      </c>
      <c r="H10" s="446"/>
      <c r="I10" s="447"/>
      <c r="J10" s="448">
        <f t="shared" si="2"/>
        <v>0</v>
      </c>
      <c r="K10" s="449">
        <f t="shared" si="3"/>
        <v>0</v>
      </c>
      <c r="L10" s="449">
        <f t="shared" ref="L10:L24" si="6">L9+K10</f>
        <v>0</v>
      </c>
      <c r="M10" s="450">
        <f t="shared" ref="M10:M26" si="7">$M$29*L10/100</f>
        <v>0</v>
      </c>
      <c r="N10" s="477">
        <f t="shared" ref="N10:N26" si="8">G10+M10</f>
        <v>0</v>
      </c>
      <c r="O10" s="452">
        <v>0</v>
      </c>
      <c r="P10" s="452">
        <v>0</v>
      </c>
      <c r="Q10" s="451">
        <v>0</v>
      </c>
      <c r="R10" s="453">
        <v>0</v>
      </c>
      <c r="S10" s="452">
        <v>0</v>
      </c>
      <c r="T10" s="452">
        <v>0</v>
      </c>
      <c r="U10" s="451">
        <v>0</v>
      </c>
      <c r="V10" s="453">
        <v>0</v>
      </c>
      <c r="W10" s="452">
        <v>5</v>
      </c>
      <c r="X10" s="453">
        <v>30</v>
      </c>
    </row>
    <row r="11" spans="1:24" x14ac:dyDescent="0.2">
      <c r="A11" s="445">
        <v>50</v>
      </c>
      <c r="B11" s="446"/>
      <c r="C11" s="447"/>
      <c r="D11" s="448">
        <f t="shared" si="0"/>
        <v>0</v>
      </c>
      <c r="E11" s="449">
        <f t="shared" si="1"/>
        <v>0</v>
      </c>
      <c r="F11" s="449">
        <f t="shared" si="4"/>
        <v>0</v>
      </c>
      <c r="G11" s="450">
        <f t="shared" si="5"/>
        <v>0</v>
      </c>
      <c r="H11" s="446"/>
      <c r="I11" s="447"/>
      <c r="J11" s="448">
        <f t="shared" si="2"/>
        <v>0</v>
      </c>
      <c r="K11" s="449">
        <f t="shared" si="3"/>
        <v>0</v>
      </c>
      <c r="L11" s="449">
        <f t="shared" si="6"/>
        <v>0</v>
      </c>
      <c r="M11" s="450">
        <f t="shared" si="7"/>
        <v>0</v>
      </c>
      <c r="N11" s="477">
        <f t="shared" si="8"/>
        <v>0</v>
      </c>
      <c r="O11" s="452">
        <v>0</v>
      </c>
      <c r="P11" s="452">
        <v>0</v>
      </c>
      <c r="Q11" s="451">
        <v>0</v>
      </c>
      <c r="R11" s="453">
        <v>0</v>
      </c>
      <c r="S11" s="452">
        <v>0</v>
      </c>
      <c r="T11" s="452">
        <v>0</v>
      </c>
      <c r="U11" s="451">
        <v>0</v>
      </c>
      <c r="V11" s="453">
        <v>5</v>
      </c>
      <c r="W11" s="452">
        <v>75</v>
      </c>
      <c r="X11" s="453">
        <v>100</v>
      </c>
    </row>
    <row r="12" spans="1:24" x14ac:dyDescent="0.2">
      <c r="A12" s="454">
        <v>37.5</v>
      </c>
      <c r="B12" s="446"/>
      <c r="C12" s="447"/>
      <c r="D12" s="448">
        <f t="shared" si="0"/>
        <v>0</v>
      </c>
      <c r="E12" s="449">
        <f t="shared" si="1"/>
        <v>0</v>
      </c>
      <c r="F12" s="449">
        <f t="shared" si="4"/>
        <v>0</v>
      </c>
      <c r="G12" s="450">
        <f t="shared" si="5"/>
        <v>0</v>
      </c>
      <c r="H12" s="446"/>
      <c r="I12" s="447"/>
      <c r="J12" s="448">
        <f t="shared" si="2"/>
        <v>0</v>
      </c>
      <c r="K12" s="449">
        <f t="shared" si="3"/>
        <v>0</v>
      </c>
      <c r="L12" s="449">
        <f t="shared" si="6"/>
        <v>0</v>
      </c>
      <c r="M12" s="450">
        <f t="shared" si="7"/>
        <v>0</v>
      </c>
      <c r="N12" s="477">
        <f t="shared" si="8"/>
        <v>0</v>
      </c>
      <c r="O12" s="452">
        <v>0</v>
      </c>
      <c r="P12" s="452">
        <v>0</v>
      </c>
      <c r="Q12" s="451">
        <v>0</v>
      </c>
      <c r="R12" s="453">
        <v>0</v>
      </c>
      <c r="S12" s="452">
        <v>0</v>
      </c>
      <c r="T12" s="452">
        <v>0</v>
      </c>
      <c r="U12" s="451">
        <v>5</v>
      </c>
      <c r="V12" s="453">
        <v>30</v>
      </c>
      <c r="W12" s="452">
        <v>90</v>
      </c>
      <c r="X12" s="453">
        <v>100</v>
      </c>
    </row>
    <row r="13" spans="1:24" x14ac:dyDescent="0.2">
      <c r="A13" s="445">
        <v>31.5</v>
      </c>
      <c r="B13" s="446"/>
      <c r="C13" s="447"/>
      <c r="D13" s="448">
        <f t="shared" si="0"/>
        <v>0</v>
      </c>
      <c r="E13" s="449">
        <f t="shared" si="1"/>
        <v>0</v>
      </c>
      <c r="F13" s="449">
        <f t="shared" si="4"/>
        <v>0</v>
      </c>
      <c r="G13" s="450">
        <f t="shared" si="5"/>
        <v>0</v>
      </c>
      <c r="H13" s="446"/>
      <c r="I13" s="447"/>
      <c r="J13" s="448">
        <f t="shared" si="2"/>
        <v>0</v>
      </c>
      <c r="K13" s="449">
        <f t="shared" si="3"/>
        <v>0</v>
      </c>
      <c r="L13" s="449">
        <f t="shared" si="6"/>
        <v>0</v>
      </c>
      <c r="M13" s="450">
        <f t="shared" si="7"/>
        <v>0</v>
      </c>
      <c r="N13" s="477">
        <f t="shared" si="8"/>
        <v>0</v>
      </c>
      <c r="O13" s="452">
        <v>0</v>
      </c>
      <c r="P13" s="452">
        <v>0</v>
      </c>
      <c r="Q13" s="451">
        <v>0</v>
      </c>
      <c r="R13" s="453">
        <v>0</v>
      </c>
      <c r="S13" s="452">
        <v>0</v>
      </c>
      <c r="T13" s="452">
        <v>5</v>
      </c>
      <c r="U13" s="451">
        <v>75</v>
      </c>
      <c r="V13" s="453">
        <v>100</v>
      </c>
      <c r="W13" s="452">
        <v>95</v>
      </c>
      <c r="X13" s="453">
        <v>100</v>
      </c>
    </row>
    <row r="14" spans="1:24" x14ac:dyDescent="0.2">
      <c r="A14" s="455">
        <v>25</v>
      </c>
      <c r="B14" s="446"/>
      <c r="C14" s="447"/>
      <c r="D14" s="448">
        <f t="shared" si="0"/>
        <v>0</v>
      </c>
      <c r="E14" s="449">
        <f t="shared" si="1"/>
        <v>0</v>
      </c>
      <c r="F14" s="449">
        <f t="shared" si="4"/>
        <v>0</v>
      </c>
      <c r="G14" s="450">
        <f t="shared" si="5"/>
        <v>0</v>
      </c>
      <c r="H14" s="446"/>
      <c r="I14" s="447"/>
      <c r="J14" s="448">
        <f t="shared" si="2"/>
        <v>0</v>
      </c>
      <c r="K14" s="449">
        <f t="shared" si="3"/>
        <v>0</v>
      </c>
      <c r="L14" s="449">
        <f t="shared" si="6"/>
        <v>0</v>
      </c>
      <c r="M14" s="450">
        <f t="shared" si="7"/>
        <v>0</v>
      </c>
      <c r="N14" s="477">
        <f t="shared" si="8"/>
        <v>0</v>
      </c>
      <c r="O14" s="452">
        <v>0</v>
      </c>
      <c r="P14" s="452">
        <v>0</v>
      </c>
      <c r="Q14" s="451">
        <v>0</v>
      </c>
      <c r="R14" s="453">
        <v>5</v>
      </c>
      <c r="S14" s="452">
        <v>5</v>
      </c>
      <c r="T14" s="452">
        <v>25</v>
      </c>
      <c r="U14" s="451">
        <v>87</v>
      </c>
      <c r="V14" s="453">
        <v>100</v>
      </c>
      <c r="W14" s="452">
        <v>100</v>
      </c>
      <c r="X14" s="453">
        <v>100</v>
      </c>
    </row>
    <row r="15" spans="1:24" x14ac:dyDescent="0.2">
      <c r="A15" s="456">
        <v>19</v>
      </c>
      <c r="B15" s="446">
        <v>98.7</v>
      </c>
      <c r="C15" s="447">
        <v>98.7</v>
      </c>
      <c r="D15" s="448">
        <f t="shared" si="0"/>
        <v>98.7</v>
      </c>
      <c r="E15" s="449">
        <f t="shared" si="1"/>
        <v>3.8739304497998268</v>
      </c>
      <c r="F15" s="449">
        <f t="shared" si="4"/>
        <v>3.8739304497998268</v>
      </c>
      <c r="G15" s="450">
        <f t="shared" si="5"/>
        <v>0.9684826124499567</v>
      </c>
      <c r="H15" s="446">
        <v>98.7</v>
      </c>
      <c r="I15" s="447">
        <v>98.7</v>
      </c>
      <c r="J15" s="448">
        <f t="shared" si="2"/>
        <v>98.7</v>
      </c>
      <c r="K15" s="449">
        <f t="shared" si="3"/>
        <v>3.8739304497998268</v>
      </c>
      <c r="L15" s="449">
        <f t="shared" si="6"/>
        <v>3.8739304497998268</v>
      </c>
      <c r="M15" s="450">
        <f t="shared" si="7"/>
        <v>2.90544783734987</v>
      </c>
      <c r="N15" s="477">
        <f t="shared" si="8"/>
        <v>3.8739304497998268</v>
      </c>
      <c r="O15" s="452">
        <v>0</v>
      </c>
      <c r="P15" s="452">
        <v>0</v>
      </c>
      <c r="Q15" s="451">
        <v>2</v>
      </c>
      <c r="R15" s="453">
        <v>15</v>
      </c>
      <c r="S15" s="452">
        <v>65</v>
      </c>
      <c r="T15" s="452">
        <v>95</v>
      </c>
      <c r="U15" s="451">
        <v>95</v>
      </c>
      <c r="V15" s="453">
        <v>100</v>
      </c>
      <c r="W15" s="452">
        <v>100</v>
      </c>
      <c r="X15" s="453">
        <v>100</v>
      </c>
    </row>
    <row r="16" spans="1:24" x14ac:dyDescent="0.2">
      <c r="A16" s="455">
        <v>12.5</v>
      </c>
      <c r="B16" s="446">
        <v>124</v>
      </c>
      <c r="C16" s="447">
        <v>124</v>
      </c>
      <c r="D16" s="448">
        <f t="shared" si="0"/>
        <v>124</v>
      </c>
      <c r="E16" s="449">
        <f t="shared" si="1"/>
        <v>4.8669440301436531</v>
      </c>
      <c r="F16" s="449">
        <f t="shared" si="4"/>
        <v>8.7408744799434803</v>
      </c>
      <c r="G16" s="450">
        <f t="shared" si="5"/>
        <v>2.1852186199858701</v>
      </c>
      <c r="H16" s="446">
        <v>124</v>
      </c>
      <c r="I16" s="447">
        <v>124</v>
      </c>
      <c r="J16" s="448">
        <f t="shared" si="2"/>
        <v>124</v>
      </c>
      <c r="K16" s="449">
        <f t="shared" si="3"/>
        <v>4.8669440301436531</v>
      </c>
      <c r="L16" s="449">
        <f t="shared" si="6"/>
        <v>8.7408744799434803</v>
      </c>
      <c r="M16" s="450">
        <f t="shared" si="7"/>
        <v>6.5556558599576098</v>
      </c>
      <c r="N16" s="477">
        <f t="shared" si="8"/>
        <v>8.7408744799434803</v>
      </c>
      <c r="O16" s="452">
        <v>0</v>
      </c>
      <c r="P16" s="452">
        <v>5</v>
      </c>
      <c r="Q16" s="451">
        <v>40</v>
      </c>
      <c r="R16" s="453">
        <v>65</v>
      </c>
      <c r="S16" s="452">
        <v>92</v>
      </c>
      <c r="T16" s="452">
        <v>100</v>
      </c>
      <c r="U16" s="451">
        <v>100</v>
      </c>
      <c r="V16" s="453">
        <v>100</v>
      </c>
      <c r="W16" s="452">
        <v>100</v>
      </c>
      <c r="X16" s="453">
        <v>100</v>
      </c>
    </row>
    <row r="17" spans="1:25" ht="17" customHeight="1" x14ac:dyDescent="0.2">
      <c r="A17" s="456">
        <v>9.5</v>
      </c>
      <c r="B17" s="457">
        <v>459.4</v>
      </c>
      <c r="C17" s="458">
        <v>459.4</v>
      </c>
      <c r="D17" s="448">
        <f>(B17+C17)/2</f>
        <v>459.4</v>
      </c>
      <c r="E17" s="449">
        <f t="shared" si="1"/>
        <v>18.031242640709628</v>
      </c>
      <c r="F17" s="449">
        <f t="shared" si="4"/>
        <v>26.772117120653107</v>
      </c>
      <c r="G17" s="450">
        <f t="shared" si="5"/>
        <v>6.6930292801632767</v>
      </c>
      <c r="H17" s="457">
        <v>459.4</v>
      </c>
      <c r="I17" s="458">
        <v>459.4</v>
      </c>
      <c r="J17" s="448">
        <f>(H17+I17)/2</f>
        <v>459.4</v>
      </c>
      <c r="K17" s="449">
        <f t="shared" si="3"/>
        <v>18.031242640709628</v>
      </c>
      <c r="L17" s="449">
        <f t="shared" si="6"/>
        <v>26.772117120653107</v>
      </c>
      <c r="M17" s="450">
        <f t="shared" si="7"/>
        <v>20.07908784048983</v>
      </c>
      <c r="N17" s="477">
        <f t="shared" si="8"/>
        <v>26.772117120653107</v>
      </c>
      <c r="O17" s="452">
        <v>2</v>
      </c>
      <c r="P17" s="452">
        <v>15</v>
      </c>
      <c r="Q17" s="451">
        <v>80</v>
      </c>
      <c r="R17" s="453">
        <v>100</v>
      </c>
      <c r="S17" s="452">
        <v>95</v>
      </c>
      <c r="T17" s="452">
        <v>100</v>
      </c>
      <c r="U17" s="451">
        <v>100</v>
      </c>
      <c r="V17" s="453">
        <v>100</v>
      </c>
      <c r="W17" s="452">
        <v>100</v>
      </c>
      <c r="X17" s="453">
        <v>100</v>
      </c>
      <c r="Y17" s="459"/>
    </row>
    <row r="18" spans="1:25" x14ac:dyDescent="0.2">
      <c r="A18" s="460">
        <v>6.3</v>
      </c>
      <c r="B18" s="457">
        <v>512</v>
      </c>
      <c r="C18" s="458">
        <v>512</v>
      </c>
      <c r="D18" s="448">
        <f t="shared" ref="D18:D26" si="9">(B18+C18)/2</f>
        <v>512</v>
      </c>
      <c r="E18" s="449">
        <f t="shared" si="1"/>
        <v>20.095768898657663</v>
      </c>
      <c r="F18" s="449">
        <f t="shared" si="4"/>
        <v>46.867886019310774</v>
      </c>
      <c r="G18" s="450">
        <f t="shared" si="5"/>
        <v>11.716971504827693</v>
      </c>
      <c r="H18" s="457">
        <v>512</v>
      </c>
      <c r="I18" s="458">
        <v>512</v>
      </c>
      <c r="J18" s="448">
        <f t="shared" ref="J18:J26" si="10">(H18+I18)/2</f>
        <v>512</v>
      </c>
      <c r="K18" s="449">
        <f t="shared" si="3"/>
        <v>20.095768898657663</v>
      </c>
      <c r="L18" s="449">
        <f t="shared" si="6"/>
        <v>46.867886019310774</v>
      </c>
      <c r="M18" s="450">
        <f t="shared" si="7"/>
        <v>35.150914514483077</v>
      </c>
      <c r="N18" s="477">
        <f t="shared" si="8"/>
        <v>46.867886019310774</v>
      </c>
      <c r="O18" s="452">
        <v>40</v>
      </c>
      <c r="P18" s="452">
        <v>65</v>
      </c>
      <c r="Q18" s="451">
        <v>92</v>
      </c>
      <c r="R18" s="453">
        <v>100</v>
      </c>
      <c r="S18" s="452">
        <v>100</v>
      </c>
      <c r="T18" s="452">
        <v>100</v>
      </c>
      <c r="U18" s="451">
        <v>100</v>
      </c>
      <c r="V18" s="453">
        <v>100</v>
      </c>
      <c r="W18" s="452">
        <v>100</v>
      </c>
      <c r="X18" s="453">
        <v>100</v>
      </c>
      <c r="Y18" s="459"/>
    </row>
    <row r="19" spans="1:25" x14ac:dyDescent="0.2">
      <c r="A19" s="456">
        <v>4.8</v>
      </c>
      <c r="B19" s="457">
        <v>286.7</v>
      </c>
      <c r="C19" s="458">
        <v>286.7</v>
      </c>
      <c r="D19" s="448">
        <f t="shared" si="9"/>
        <v>286.7</v>
      </c>
      <c r="E19" s="449">
        <f t="shared" si="1"/>
        <v>11.252845592275687</v>
      </c>
      <c r="F19" s="449">
        <f t="shared" si="4"/>
        <v>58.120731611586464</v>
      </c>
      <c r="G19" s="450">
        <f t="shared" si="5"/>
        <v>14.530182902896616</v>
      </c>
      <c r="H19" s="457">
        <v>286.7</v>
      </c>
      <c r="I19" s="458">
        <v>286.7</v>
      </c>
      <c r="J19" s="448">
        <f t="shared" si="10"/>
        <v>286.7</v>
      </c>
      <c r="K19" s="449">
        <f t="shared" si="3"/>
        <v>11.252845592275687</v>
      </c>
      <c r="L19" s="449">
        <f t="shared" si="6"/>
        <v>58.120731611586464</v>
      </c>
      <c r="M19" s="450">
        <f t="shared" si="7"/>
        <v>43.590548708689852</v>
      </c>
      <c r="N19" s="477">
        <f t="shared" si="8"/>
        <v>58.120731611586464</v>
      </c>
      <c r="O19" s="452">
        <v>80</v>
      </c>
      <c r="P19" s="452">
        <v>100</v>
      </c>
      <c r="Q19" s="451">
        <v>95</v>
      </c>
      <c r="R19" s="453">
        <v>100</v>
      </c>
      <c r="S19" s="452">
        <v>100</v>
      </c>
      <c r="T19" s="452">
        <v>100</v>
      </c>
      <c r="U19" s="451">
        <v>100</v>
      </c>
      <c r="V19" s="453">
        <v>100</v>
      </c>
      <c r="W19" s="452">
        <v>100</v>
      </c>
      <c r="X19" s="453">
        <v>100</v>
      </c>
      <c r="Y19" s="459"/>
    </row>
    <row r="20" spans="1:25" x14ac:dyDescent="0.2">
      <c r="A20" s="456">
        <v>2.4</v>
      </c>
      <c r="B20" s="457">
        <v>356</v>
      </c>
      <c r="C20" s="458">
        <v>356</v>
      </c>
      <c r="D20" s="448">
        <f t="shared" si="9"/>
        <v>356</v>
      </c>
      <c r="E20" s="449">
        <f t="shared" si="1"/>
        <v>13.972839312347906</v>
      </c>
      <c r="F20" s="449">
        <f t="shared" si="4"/>
        <v>72.093570923934365</v>
      </c>
      <c r="G20" s="450">
        <f t="shared" si="5"/>
        <v>18.023392730983591</v>
      </c>
      <c r="H20" s="457">
        <v>356</v>
      </c>
      <c r="I20" s="458">
        <v>356</v>
      </c>
      <c r="J20" s="448">
        <f t="shared" si="10"/>
        <v>356</v>
      </c>
      <c r="K20" s="449">
        <f t="shared" si="3"/>
        <v>13.972839312347906</v>
      </c>
      <c r="L20" s="449">
        <f t="shared" si="6"/>
        <v>72.093570923934365</v>
      </c>
      <c r="M20" s="450">
        <f t="shared" si="7"/>
        <v>54.07017819295077</v>
      </c>
      <c r="N20" s="477">
        <f t="shared" si="8"/>
        <v>72.093570923934365</v>
      </c>
      <c r="O20" s="452">
        <v>95</v>
      </c>
      <c r="P20" s="452">
        <v>100</v>
      </c>
      <c r="Q20" s="451">
        <v>100</v>
      </c>
      <c r="R20" s="453">
        <v>100</v>
      </c>
      <c r="S20" s="452">
        <v>100</v>
      </c>
      <c r="T20" s="452">
        <v>100</v>
      </c>
      <c r="U20" s="451">
        <v>100</v>
      </c>
      <c r="V20" s="453">
        <v>100</v>
      </c>
      <c r="W20" s="452">
        <v>100</v>
      </c>
      <c r="X20" s="453">
        <v>100</v>
      </c>
      <c r="Y20" s="459"/>
    </row>
    <row r="21" spans="1:25" x14ac:dyDescent="0.2">
      <c r="A21" s="456">
        <v>1.2</v>
      </c>
      <c r="B21" s="457">
        <v>441</v>
      </c>
      <c r="C21" s="458">
        <v>441</v>
      </c>
      <c r="D21" s="448">
        <f t="shared" si="9"/>
        <v>441</v>
      </c>
      <c r="E21" s="449">
        <f t="shared" si="1"/>
        <v>17.30905094591412</v>
      </c>
      <c r="F21" s="449">
        <f t="shared" si="4"/>
        <v>89.402621869848488</v>
      </c>
      <c r="G21" s="450">
        <f t="shared" si="5"/>
        <v>22.350655467462119</v>
      </c>
      <c r="H21" s="457">
        <v>441</v>
      </c>
      <c r="I21" s="458">
        <v>441</v>
      </c>
      <c r="J21" s="448">
        <f t="shared" si="10"/>
        <v>441</v>
      </c>
      <c r="K21" s="449">
        <f t="shared" si="3"/>
        <v>17.30905094591412</v>
      </c>
      <c r="L21" s="449">
        <f t="shared" si="6"/>
        <v>89.402621869848488</v>
      </c>
      <c r="M21" s="450">
        <f t="shared" si="7"/>
        <v>67.05196640238637</v>
      </c>
      <c r="N21" s="477">
        <f t="shared" si="8"/>
        <v>89.402621869848488</v>
      </c>
      <c r="O21" s="452">
        <v>100</v>
      </c>
      <c r="P21" s="452">
        <v>100</v>
      </c>
      <c r="Q21" s="451">
        <v>100</v>
      </c>
      <c r="R21" s="453">
        <v>100</v>
      </c>
      <c r="S21" s="452">
        <v>100</v>
      </c>
      <c r="T21" s="452">
        <v>100</v>
      </c>
      <c r="U21" s="451">
        <v>100</v>
      </c>
      <c r="V21" s="453">
        <v>100</v>
      </c>
      <c r="W21" s="452">
        <v>100</v>
      </c>
      <c r="X21" s="453">
        <v>100</v>
      </c>
      <c r="Y21" s="459"/>
    </row>
    <row r="22" spans="1:25" x14ac:dyDescent="0.2">
      <c r="A22" s="456">
        <v>0.6</v>
      </c>
      <c r="B22" s="457">
        <v>0</v>
      </c>
      <c r="C22" s="458">
        <v>0</v>
      </c>
      <c r="D22" s="448">
        <f t="shared" si="9"/>
        <v>0</v>
      </c>
      <c r="E22" s="449">
        <f t="shared" si="1"/>
        <v>0</v>
      </c>
      <c r="F22" s="449">
        <f t="shared" si="4"/>
        <v>89.402621869848488</v>
      </c>
      <c r="G22" s="450">
        <f t="shared" si="5"/>
        <v>22.350655467462119</v>
      </c>
      <c r="H22" s="457">
        <v>0</v>
      </c>
      <c r="I22" s="458">
        <v>0</v>
      </c>
      <c r="J22" s="448">
        <f t="shared" si="10"/>
        <v>0</v>
      </c>
      <c r="K22" s="449">
        <f t="shared" si="3"/>
        <v>0</v>
      </c>
      <c r="L22" s="449">
        <f t="shared" si="6"/>
        <v>89.402621869848488</v>
      </c>
      <c r="M22" s="450">
        <f t="shared" si="7"/>
        <v>67.05196640238637</v>
      </c>
      <c r="N22" s="477">
        <f t="shared" si="8"/>
        <v>89.402621869848488</v>
      </c>
      <c r="O22" s="452">
        <v>100</v>
      </c>
      <c r="P22" s="452">
        <v>100</v>
      </c>
      <c r="Q22" s="451">
        <v>100</v>
      </c>
      <c r="R22" s="453">
        <v>100</v>
      </c>
      <c r="S22" s="452">
        <v>100</v>
      </c>
      <c r="T22" s="452">
        <v>100</v>
      </c>
      <c r="U22" s="451">
        <v>100</v>
      </c>
      <c r="V22" s="453">
        <v>100</v>
      </c>
      <c r="W22" s="452">
        <v>100</v>
      </c>
      <c r="X22" s="453">
        <v>100</v>
      </c>
      <c r="Y22" s="459"/>
    </row>
    <row r="23" spans="1:25" x14ac:dyDescent="0.2">
      <c r="A23" s="456">
        <v>0.3</v>
      </c>
      <c r="B23" s="457">
        <v>270</v>
      </c>
      <c r="C23" s="458">
        <v>270</v>
      </c>
      <c r="D23" s="448">
        <f t="shared" si="9"/>
        <v>270</v>
      </c>
      <c r="E23" s="449">
        <f t="shared" si="1"/>
        <v>10.597378130151503</v>
      </c>
      <c r="F23" s="449">
        <f t="shared" si="4"/>
        <v>99.999999999999986</v>
      </c>
      <c r="G23" s="450">
        <f t="shared" si="5"/>
        <v>24.999999999999996</v>
      </c>
      <c r="H23" s="457">
        <v>270</v>
      </c>
      <c r="I23" s="458">
        <v>270</v>
      </c>
      <c r="J23" s="448">
        <f t="shared" si="10"/>
        <v>270</v>
      </c>
      <c r="K23" s="449">
        <f t="shared" si="3"/>
        <v>10.597378130151503</v>
      </c>
      <c r="L23" s="449">
        <f t="shared" si="6"/>
        <v>99.999999999999986</v>
      </c>
      <c r="M23" s="450">
        <f t="shared" si="7"/>
        <v>74.999999999999986</v>
      </c>
      <c r="N23" s="477">
        <f t="shared" si="8"/>
        <v>99.999999999999986</v>
      </c>
      <c r="O23" s="452">
        <v>100</v>
      </c>
      <c r="P23" s="452">
        <v>100</v>
      </c>
      <c r="Q23" s="451">
        <v>100</v>
      </c>
      <c r="R23" s="453">
        <v>100</v>
      </c>
      <c r="S23" s="452">
        <v>100</v>
      </c>
      <c r="T23" s="452">
        <v>100</v>
      </c>
      <c r="U23" s="451">
        <v>100</v>
      </c>
      <c r="V23" s="453">
        <v>100</v>
      </c>
      <c r="W23" s="452">
        <v>100</v>
      </c>
      <c r="X23" s="453">
        <v>100</v>
      </c>
      <c r="Y23" s="459"/>
    </row>
    <row r="24" spans="1:25" x14ac:dyDescent="0.2">
      <c r="A24" s="456">
        <v>0.15</v>
      </c>
      <c r="B24" s="457">
        <v>0</v>
      </c>
      <c r="C24" s="458">
        <v>0</v>
      </c>
      <c r="D24" s="448">
        <f t="shared" si="9"/>
        <v>0</v>
      </c>
      <c r="E24" s="449">
        <f t="shared" si="1"/>
        <v>0</v>
      </c>
      <c r="F24" s="449">
        <f t="shared" si="4"/>
        <v>99.999999999999986</v>
      </c>
      <c r="G24" s="450">
        <f t="shared" si="5"/>
        <v>24.999999999999996</v>
      </c>
      <c r="H24" s="457">
        <v>0</v>
      </c>
      <c r="I24" s="458">
        <v>0</v>
      </c>
      <c r="J24" s="448">
        <f t="shared" si="10"/>
        <v>0</v>
      </c>
      <c r="K24" s="449">
        <f t="shared" si="3"/>
        <v>0</v>
      </c>
      <c r="L24" s="449">
        <f t="shared" si="6"/>
        <v>99.999999999999986</v>
      </c>
      <c r="M24" s="450">
        <f t="shared" si="7"/>
        <v>74.999999999999986</v>
      </c>
      <c r="N24" s="477">
        <f t="shared" si="8"/>
        <v>99.999999999999986</v>
      </c>
      <c r="O24" s="452">
        <v>100</v>
      </c>
      <c r="P24" s="452">
        <v>100</v>
      </c>
      <c r="Q24" s="451">
        <v>100</v>
      </c>
      <c r="R24" s="453">
        <v>100</v>
      </c>
      <c r="S24" s="452">
        <v>100</v>
      </c>
      <c r="T24" s="452">
        <v>100</v>
      </c>
      <c r="U24" s="451">
        <v>100</v>
      </c>
      <c r="V24" s="453">
        <v>100</v>
      </c>
      <c r="W24" s="452">
        <v>100</v>
      </c>
      <c r="X24" s="453">
        <v>100</v>
      </c>
      <c r="Y24" s="459"/>
    </row>
    <row r="25" spans="1:25" x14ac:dyDescent="0.2">
      <c r="A25" s="460">
        <v>7.4999999999999997E-2</v>
      </c>
      <c r="B25" s="457">
        <v>0</v>
      </c>
      <c r="C25" s="458">
        <v>0</v>
      </c>
      <c r="D25" s="448">
        <f t="shared" si="9"/>
        <v>0</v>
      </c>
      <c r="E25" s="449">
        <f t="shared" si="1"/>
        <v>0</v>
      </c>
      <c r="F25" s="449">
        <f>F24+E25</f>
        <v>99.999999999999986</v>
      </c>
      <c r="G25" s="450">
        <f t="shared" si="5"/>
        <v>24.999999999999996</v>
      </c>
      <c r="H25" s="457">
        <v>0</v>
      </c>
      <c r="I25" s="458">
        <v>0</v>
      </c>
      <c r="J25" s="448">
        <f t="shared" si="10"/>
        <v>0</v>
      </c>
      <c r="K25" s="449">
        <f t="shared" si="3"/>
        <v>0</v>
      </c>
      <c r="L25" s="449">
        <f>L24+K25</f>
        <v>99.999999999999986</v>
      </c>
      <c r="M25" s="450">
        <f t="shared" si="7"/>
        <v>74.999999999999986</v>
      </c>
      <c r="N25" s="477">
        <f t="shared" si="8"/>
        <v>99.999999999999986</v>
      </c>
      <c r="O25" s="452">
        <v>100</v>
      </c>
      <c r="P25" s="452">
        <v>100</v>
      </c>
      <c r="Q25" s="451">
        <v>100</v>
      </c>
      <c r="R25" s="453">
        <v>100</v>
      </c>
      <c r="S25" s="452">
        <v>100</v>
      </c>
      <c r="T25" s="452">
        <v>100</v>
      </c>
      <c r="U25" s="451">
        <v>100</v>
      </c>
      <c r="V25" s="453">
        <v>100</v>
      </c>
      <c r="W25" s="452">
        <v>100</v>
      </c>
      <c r="X25" s="453">
        <v>100</v>
      </c>
      <c r="Y25" s="459"/>
    </row>
    <row r="26" spans="1:25" x14ac:dyDescent="0.2">
      <c r="A26" s="460">
        <v>3.7499999999999999E-2</v>
      </c>
      <c r="B26" s="457">
        <v>0</v>
      </c>
      <c r="C26" s="458">
        <v>0</v>
      </c>
      <c r="D26" s="448">
        <f t="shared" si="9"/>
        <v>0</v>
      </c>
      <c r="E26" s="449">
        <f t="shared" si="1"/>
        <v>0</v>
      </c>
      <c r="F26" s="449">
        <f t="shared" si="4"/>
        <v>99.999999999999986</v>
      </c>
      <c r="G26" s="450">
        <f t="shared" si="5"/>
        <v>24.999999999999996</v>
      </c>
      <c r="H26" s="457">
        <v>0</v>
      </c>
      <c r="I26" s="458">
        <v>0</v>
      </c>
      <c r="J26" s="448">
        <f t="shared" si="10"/>
        <v>0</v>
      </c>
      <c r="K26" s="449">
        <f t="shared" si="3"/>
        <v>0</v>
      </c>
      <c r="L26" s="449">
        <f t="shared" ref="L26" si="11">L25+K26</f>
        <v>99.999999999999986</v>
      </c>
      <c r="M26" s="450">
        <f t="shared" si="7"/>
        <v>74.999999999999986</v>
      </c>
      <c r="N26" s="477">
        <f t="shared" si="8"/>
        <v>99.999999999999986</v>
      </c>
      <c r="O26" s="452">
        <v>100</v>
      </c>
      <c r="P26" s="452">
        <v>100</v>
      </c>
      <c r="Q26" s="451">
        <v>100</v>
      </c>
      <c r="R26" s="453">
        <v>100</v>
      </c>
      <c r="S26" s="452">
        <v>100</v>
      </c>
      <c r="T26" s="452">
        <v>100</v>
      </c>
      <c r="U26" s="451">
        <v>100</v>
      </c>
      <c r="V26" s="453">
        <v>100</v>
      </c>
      <c r="W26" s="452">
        <v>100</v>
      </c>
      <c r="X26" s="453">
        <v>100</v>
      </c>
      <c r="Y26" s="461"/>
    </row>
    <row r="27" spans="1:25" ht="17" thickBot="1" x14ac:dyDescent="0.25">
      <c r="A27" s="462"/>
      <c r="B27" s="463">
        <f>SUM(B9:B26)</f>
        <v>2547.8000000000002</v>
      </c>
      <c r="C27" s="464">
        <f>SUM(C9:C26)</f>
        <v>2547.8000000000002</v>
      </c>
      <c r="D27" s="464">
        <f>SUM(D14:D26)</f>
        <v>2547.8000000000002</v>
      </c>
      <c r="E27" s="465">
        <f>SUM(E9:E26)</f>
        <v>99.999999999999986</v>
      </c>
      <c r="F27" s="478"/>
      <c r="G27" s="466"/>
      <c r="H27" s="463">
        <f>SUM(H9:H26)</f>
        <v>2547.8000000000002</v>
      </c>
      <c r="I27" s="464">
        <f>SUM(I9:I26)</f>
        <v>2547.8000000000002</v>
      </c>
      <c r="J27" s="464">
        <f>SUM(J14:J26)</f>
        <v>2547.8000000000002</v>
      </c>
      <c r="K27" s="465">
        <f>SUM(K9:K26)</f>
        <v>99.999999999999986</v>
      </c>
      <c r="L27" s="478"/>
      <c r="M27" s="466"/>
      <c r="N27" s="479"/>
      <c r="O27" s="452">
        <v>100</v>
      </c>
      <c r="P27" s="452">
        <v>100</v>
      </c>
      <c r="Q27" s="451">
        <v>100</v>
      </c>
      <c r="R27" s="453">
        <v>100</v>
      </c>
      <c r="S27" s="452">
        <v>100</v>
      </c>
      <c r="T27" s="452">
        <v>100</v>
      </c>
      <c r="U27" s="451">
        <v>100</v>
      </c>
      <c r="V27" s="453">
        <v>100</v>
      </c>
      <c r="W27" s="452">
        <v>100</v>
      </c>
      <c r="X27" s="453">
        <v>100</v>
      </c>
    </row>
    <row r="28" spans="1:25" ht="17" thickBot="1" x14ac:dyDescent="0.25">
      <c r="A28" s="467" t="s">
        <v>7</v>
      </c>
      <c r="B28" s="552">
        <f>(F9+F12+F15+F17+F19+F20+F21+F22+F23+F24)/100</f>
        <v>5.396655938456707</v>
      </c>
      <c r="C28" s="553"/>
      <c r="D28" s="480"/>
      <c r="E28" s="480"/>
      <c r="F28" s="480"/>
      <c r="G28" s="481"/>
      <c r="H28" s="552">
        <f>(L9+L12+L15+L17+L19+L20+L21+L22+L23+L24)/100</f>
        <v>5.396655938456707</v>
      </c>
      <c r="I28" s="553"/>
      <c r="J28" s="480"/>
      <c r="K28" s="480"/>
      <c r="L28" s="480"/>
      <c r="M28" s="481"/>
      <c r="N28" s="482">
        <f>(N9+N12+N15+N17+N19+N20+N21+N22+N23+N24)/100</f>
        <v>5.396655938456707</v>
      </c>
      <c r="O28" s="468">
        <f>(O9+O12+O15+O17+O19+O20+O21+O22+O23+O24)/100</f>
        <v>5.77</v>
      </c>
      <c r="P28" s="469">
        <f t="shared" ref="P28:X28" si="12">(P9+P12+P15+P17+P19+P20+P21+P22+P23+P24)/100</f>
        <v>6.15</v>
      </c>
      <c r="Q28" s="470">
        <f t="shared" si="12"/>
        <v>6.77</v>
      </c>
      <c r="R28" s="470">
        <f t="shared" si="12"/>
        <v>7.15</v>
      </c>
      <c r="S28" s="468">
        <f t="shared" si="12"/>
        <v>7.6</v>
      </c>
      <c r="T28" s="469">
        <f t="shared" si="12"/>
        <v>7.95</v>
      </c>
      <c r="U28" s="470">
        <f t="shared" si="12"/>
        <v>8</v>
      </c>
      <c r="V28" s="470">
        <f t="shared" si="12"/>
        <v>8.3000000000000007</v>
      </c>
      <c r="W28" s="468">
        <f t="shared" si="12"/>
        <v>8.9</v>
      </c>
      <c r="X28" s="469">
        <f t="shared" si="12"/>
        <v>9.0500000000000007</v>
      </c>
    </row>
    <row r="29" spans="1:25" ht="17" thickBot="1" x14ac:dyDescent="0.25">
      <c r="B29" s="546" t="s">
        <v>182</v>
      </c>
      <c r="C29" s="547"/>
      <c r="D29" s="547"/>
      <c r="E29" s="547"/>
      <c r="F29" s="547"/>
      <c r="G29" s="483">
        <v>25</v>
      </c>
      <c r="H29" s="546" t="s">
        <v>183</v>
      </c>
      <c r="I29" s="547"/>
      <c r="J29" s="547"/>
      <c r="K29" s="547"/>
      <c r="L29" s="547"/>
      <c r="M29" s="484">
        <f>100-G29</f>
        <v>75</v>
      </c>
    </row>
  </sheetData>
  <mergeCells count="29">
    <mergeCell ref="A4:S4"/>
    <mergeCell ref="T4:X4"/>
    <mergeCell ref="A5:A8"/>
    <mergeCell ref="B5:G6"/>
    <mergeCell ref="H5:M6"/>
    <mergeCell ref="N5:X5"/>
    <mergeCell ref="N6:X6"/>
    <mergeCell ref="B7:B8"/>
    <mergeCell ref="C7:C8"/>
    <mergeCell ref="D7:D8"/>
    <mergeCell ref="S7:T7"/>
    <mergeCell ref="U7:V7"/>
    <mergeCell ref="W7:X7"/>
    <mergeCell ref="N7:N8"/>
    <mergeCell ref="O7:P7"/>
    <mergeCell ref="Q7:R7"/>
    <mergeCell ref="B29:F29"/>
    <mergeCell ref="H29:L29"/>
    <mergeCell ref="K7:K8"/>
    <mergeCell ref="L7:L8"/>
    <mergeCell ref="M7:M8"/>
    <mergeCell ref="E7:E8"/>
    <mergeCell ref="F7:F8"/>
    <mergeCell ref="G7:G8"/>
    <mergeCell ref="H7:H8"/>
    <mergeCell ref="I7:I8"/>
    <mergeCell ref="J7:J8"/>
    <mergeCell ref="B28:C28"/>
    <mergeCell ref="H28:I28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&amp;C&amp;1#&amp;"Calibri"&amp;10&amp;KFF0000This content is Confidential.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>
    <tabColor rgb="FF92D050"/>
  </sheetPr>
  <dimension ref="A1:AD128"/>
  <sheetViews>
    <sheetView zoomScale="75" zoomScaleNormal="75" zoomScaleSheetLayoutView="70" workbookViewId="0">
      <pane xSplit="3" ySplit="10" topLeftCell="D11" activePane="bottomRight" state="frozen"/>
      <selection activeCell="AD7" sqref="AD7"/>
      <selection pane="topRight" activeCell="AD7" sqref="AD7"/>
      <selection pane="bottomLeft" activeCell="AD7" sqref="AD7"/>
      <selection pane="bottomRight" activeCell="AB33" sqref="AB33"/>
    </sheetView>
  </sheetViews>
  <sheetFormatPr baseColWidth="10" defaultColWidth="9.1640625" defaultRowHeight="13" x14ac:dyDescent="0.15"/>
  <cols>
    <col min="1" max="2" width="12.1640625" style="23" customWidth="1"/>
    <col min="3" max="3" width="18.1640625" style="23" customWidth="1"/>
    <col min="4" max="4" width="27.5" style="23" customWidth="1"/>
    <col min="5" max="5" width="25.6640625" style="23" customWidth="1"/>
    <col min="6" max="6" width="30.33203125" style="23" customWidth="1"/>
    <col min="7" max="7" width="18.1640625" style="23" customWidth="1"/>
    <col min="8" max="8" width="2.6640625" style="23" customWidth="1"/>
    <col min="9" max="16" width="6.5" style="23" customWidth="1"/>
    <col min="17" max="17" width="2.6640625" style="23" customWidth="1"/>
    <col min="18" max="27" width="6.5" style="23" customWidth="1"/>
    <col min="28" max="258" width="12.5" style="23" customWidth="1"/>
    <col min="259" max="16384" width="9.1640625" style="23"/>
  </cols>
  <sheetData>
    <row r="1" spans="1:30" ht="41.25" customHeight="1" thickBot="1" x14ac:dyDescent="0.2"/>
    <row r="2" spans="1:30" ht="69" customHeight="1" thickBot="1" x14ac:dyDescent="0.3">
      <c r="A2" s="583" t="s">
        <v>8</v>
      </c>
      <c r="B2" s="584"/>
      <c r="C2" s="584"/>
      <c r="D2" s="584"/>
      <c r="E2" s="584"/>
      <c r="F2" s="584"/>
      <c r="G2" s="585"/>
      <c r="I2" s="586" t="s">
        <v>9</v>
      </c>
      <c r="J2" s="587"/>
      <c r="K2" s="587"/>
      <c r="L2" s="587"/>
      <c r="M2" s="587"/>
      <c r="N2" s="587"/>
      <c r="O2" s="587"/>
      <c r="P2" s="588"/>
      <c r="R2" s="24" t="s">
        <v>10</v>
      </c>
      <c r="S2" s="25" t="s">
        <v>11</v>
      </c>
      <c r="T2" s="25" t="s">
        <v>12</v>
      </c>
      <c r="U2" s="25" t="str">
        <f>CONCATENATE($D$4)</f>
        <v>Brita 2</v>
      </c>
      <c r="V2" s="25" t="str">
        <f>CONCATENATE($D$5)</f>
        <v>Brita 1</v>
      </c>
      <c r="W2" s="25" t="str">
        <f>CONCATENATE($D$6)</f>
        <v>Brita 0</v>
      </c>
      <c r="X2" s="25" t="str">
        <f>CONCATENATE($D$7)</f>
        <v>Areia Grossa</v>
      </c>
      <c r="Y2" s="25" t="str">
        <f>CONCATENATE($D$8)</f>
        <v>Areia Média</v>
      </c>
      <c r="Z2" s="26" t="str">
        <f>CONCATENATE($D$9)</f>
        <v>Areia Fina</v>
      </c>
      <c r="AA2" s="272"/>
    </row>
    <row r="3" spans="1:30" ht="15.75" customHeight="1" thickBot="1" x14ac:dyDescent="0.2">
      <c r="D3" s="589" t="s">
        <v>17</v>
      </c>
      <c r="E3" s="590"/>
      <c r="F3" s="590"/>
      <c r="G3" s="591"/>
      <c r="I3" s="274"/>
      <c r="J3" s="275"/>
      <c r="K3" s="275"/>
      <c r="L3" s="275"/>
      <c r="M3" s="275"/>
      <c r="N3" s="275"/>
      <c r="O3" s="275"/>
      <c r="P3" s="276"/>
      <c r="R3" s="277"/>
      <c r="S3" s="278"/>
      <c r="T3" s="278"/>
      <c r="U3" s="282" t="str">
        <f>IF(U$2="","",IF(U$2="Brita 2","B",IF(U$2="Brita 1","B",IF(U$2="Brita 0","B",IF(U$2="Areia Grossa","A",IF(U$2="Areia Média","A",IF(U$2="Areia Fina","A","X")))))))</f>
        <v>B</v>
      </c>
      <c r="V3" s="282" t="str">
        <f t="shared" ref="V3:Z3" si="0">IF(V$2="","",IF(V$2="Brita 2","B",IF(V$2="Brita 1","B",IF(V$2="Brita 0","B",IF(V$2="Areia Grossa","A",IF(V$2="Areia Média","A",IF(V$2="Areia Fina","A","X")))))))</f>
        <v>B</v>
      </c>
      <c r="W3" s="282" t="str">
        <f t="shared" si="0"/>
        <v>B</v>
      </c>
      <c r="X3" s="282" t="str">
        <f t="shared" si="0"/>
        <v>A</v>
      </c>
      <c r="Y3" s="282" t="str">
        <f t="shared" si="0"/>
        <v>A</v>
      </c>
      <c r="Z3" s="283" t="str">
        <f t="shared" si="0"/>
        <v>A</v>
      </c>
      <c r="AA3" s="273"/>
    </row>
    <row r="4" spans="1:30" ht="17" thickBot="1" x14ac:dyDescent="0.25">
      <c r="A4" s="577" t="s">
        <v>19</v>
      </c>
      <c r="B4" s="578"/>
      <c r="C4" s="322">
        <v>3.915</v>
      </c>
      <c r="D4" s="326" t="s">
        <v>127</v>
      </c>
      <c r="E4" s="323">
        <v>3000</v>
      </c>
      <c r="F4" s="32" t="str">
        <f>CONCATENATE("Melhor ",INDEX($AC$13:$AD$19,MATCH($D$4,$AC$13:$AC$19,0),2),"/",INDEX($AC$13:$AD$19,MATCH($D$5,$AC$13:$AC$19,0),2))</f>
        <v>Melhor B2/B1</v>
      </c>
      <c r="G4" s="33">
        <f>INDEX(F12:F23,MATCH(O4,G12:G23,0))</f>
        <v>2949</v>
      </c>
      <c r="I4" s="592" t="str">
        <f>CONCATENATE(INDEX($AC$13:$AD$19,MATCH($D$4,AC13:AC19,0),2)," + ",INDEX($AC$13:$AD$19,MATCH($D$5,AC13:AC19,0),2))</f>
        <v>B2 + B1</v>
      </c>
      <c r="J4" s="593"/>
      <c r="K4" s="593"/>
      <c r="L4" s="593"/>
      <c r="M4" s="593"/>
      <c r="N4" s="593"/>
      <c r="O4" s="594">
        <f>MIN(G12:G23)</f>
        <v>44.290267887419461</v>
      </c>
      <c r="P4" s="595"/>
      <c r="R4" s="329">
        <v>5</v>
      </c>
      <c r="S4" s="28" t="str">
        <f>CONCATENATE("1:",$R$4,)</f>
        <v>1:5</v>
      </c>
      <c r="T4" s="28" t="s">
        <v>18</v>
      </c>
      <c r="U4" s="29">
        <f>$R$4-$V$4-$W$4-$X$4-$Y$4-$Z$4</f>
        <v>0.22522500000000023</v>
      </c>
      <c r="V4" s="30">
        <f>INDEX($B$12:$B$23,MATCH($O$4,$G$12:$G$23,0))/100*($R$4-W$4-X$4-Y$4-Z$4)</f>
        <v>9.6524999999999986E-2</v>
      </c>
      <c r="W4" s="30">
        <f>IF(W2="",0,INDEX($B$27:$B$38,MATCH($O$5,$G$27:$G$38,0))/100*($R$4-X$4-Y$4-Z$4))</f>
        <v>1.2869999999999999</v>
      </c>
      <c r="X4" s="30">
        <f>IF(X2="",0,INDEX($B$42:$B$53,MATCH($O$6,$G$42:$G$53,0))/100*($R$4-Y$4-Z$4))</f>
        <v>1.3162499999999999</v>
      </c>
      <c r="Y4" s="30">
        <f>IF(Y2="",0,INDEX($B$57:$B$68,MATCH($O$7,$G$57:$G$68,0))/100*($R$4-Z$4))</f>
        <v>1.575</v>
      </c>
      <c r="Z4" s="31">
        <f>IF(Z2="",0,$R$4*INDEX($B$72:$B$83,MATCH($O$8,$G$72:$G$83,0))/100)</f>
        <v>0.5</v>
      </c>
    </row>
    <row r="5" spans="1:30" ht="16" x14ac:dyDescent="0.2">
      <c r="A5" s="573" t="s">
        <v>20</v>
      </c>
      <c r="B5" s="574"/>
      <c r="C5" s="323">
        <v>25</v>
      </c>
      <c r="D5" s="327" t="s">
        <v>13</v>
      </c>
      <c r="E5" s="324">
        <v>2830</v>
      </c>
      <c r="F5" s="34" t="str">
        <f>IF(D6="","",CONCATENATE("Melhor ",INDEX($AC$13:$AD$19,MATCH($D$4,$AC$13:$AC$19,0),2),"/",INDEX($AC$13:$AD$19,MATCH($D$5,$AC$13:$AC$19,0),2),"/",INDEX($AC$13:$AD$19,MATCH($D$6,$AC$13:$AC$19,0),2)))</f>
        <v>Melhor B2/B1/B0</v>
      </c>
      <c r="G5" s="33">
        <f>INDEX(F27:F38,MATCH(O5,G27:G38,0))</f>
        <v>2669.8</v>
      </c>
      <c r="I5" s="579" t="str">
        <f>IF(D6="","",CONCATENATE(INDEX($AC$13:$AD$19,MATCH($D$4,AC13:AC19,0),2)," + ",INDEX($AC$13:$AD$19,MATCH($D$5,AC13:AC19,0),2)," + ",INDEX($AC$13:$AD$19,MATCH($D$6,$AC$13:$AC$19,0),2)))</f>
        <v>B2 + B1 + B0</v>
      </c>
      <c r="J5" s="580"/>
      <c r="K5" s="580"/>
      <c r="L5" s="580"/>
      <c r="M5" s="580"/>
      <c r="N5" s="580"/>
      <c r="O5" s="581">
        <f>IF(I5="","",MIN(G27:G38))</f>
        <v>31.58199116038654</v>
      </c>
      <c r="P5" s="582"/>
      <c r="R5" s="571" t="s">
        <v>134</v>
      </c>
      <c r="S5" s="572"/>
      <c r="T5" s="572"/>
      <c r="U5" s="280">
        <f>1-V5</f>
        <v>0.7</v>
      </c>
      <c r="V5" s="280">
        <f>INDEX($B$12:$B$23,MATCH($O$4,$G$12:$G$23,0))/100</f>
        <v>0.3</v>
      </c>
      <c r="W5" s="280">
        <f>IF(W2="","",INDEX($B$27:$B$38,MATCH($O$5,$G$27:$G$38,0))/100)</f>
        <v>0.8</v>
      </c>
      <c r="X5" s="280">
        <f>IF(X2="","",INDEX($B$42:$B$53,MATCH($O$6,$G$42:$G$53,0))/100)</f>
        <v>0.45</v>
      </c>
      <c r="Y5" s="280">
        <f>IF(Y2="","",INDEX($B$57:$B$68,MATCH($O$7,$G$57:$G$68,0))/100)</f>
        <v>0.35</v>
      </c>
      <c r="Z5" s="280">
        <f>IF(Z2="","",INDEX($B$72:$B$83,MATCH($O$8,$G$72:$G$83,0))/100)</f>
        <v>0.1</v>
      </c>
    </row>
    <row r="6" spans="1:30" ht="16" x14ac:dyDescent="0.2">
      <c r="A6" s="575"/>
      <c r="B6" s="576"/>
      <c r="C6" s="324">
        <v>25</v>
      </c>
      <c r="D6" s="327" t="s">
        <v>14</v>
      </c>
      <c r="E6" s="324">
        <v>2600</v>
      </c>
      <c r="F6" s="34" t="str">
        <f>IF(D7="","",CONCATENATE("Melhor ",INDEX($AC$13:$AD$19,MATCH($D$4,$AC$13:$AC$19,0),2),"/",INDEX($AC$13:$AD$19,MATCH($D$5,$AC$13:$AC$19,0),2),"/",INDEX($AC$13:$AD$19,MATCH($D$6,$AC$13:$AC$19,0),2),"/",INDEX($AC$13:$AD$19,MATCH($D$7,$AC$13:$AC$19,0),2)))</f>
        <v>Melhor B2/B1/B0/AG</v>
      </c>
      <c r="G6" s="33">
        <f>INDEX(F42:F53,MATCH(O6,G42:G53,0))</f>
        <v>2651.89</v>
      </c>
      <c r="I6" s="579" t="str">
        <f>IF(D7="","",CONCATENATE(INDEX($AC$13:$AD$19,MATCH($D$4,AC13:AC19,0),2)," + ",INDEX($AC$13:$AD$19,MATCH($D$5,AC13:AC19,0),2)," + ",INDEX($AC$13:$AD$19,MATCH($D$6,$AC$13:$AC$19,0),2)," + ",INDEX($AC$13:$AD$19,MATCH($D$7,$AC$13:$AC$19,0),2)))</f>
        <v>B2 + B1 + B0 + AG</v>
      </c>
      <c r="J6" s="580"/>
      <c r="K6" s="580"/>
      <c r="L6" s="580"/>
      <c r="M6" s="580"/>
      <c r="N6" s="580"/>
      <c r="O6" s="581">
        <f>IF(I6="","",MIN(G42:G53))</f>
        <v>23.170267243362275</v>
      </c>
      <c r="P6" s="582"/>
    </row>
    <row r="7" spans="1:30" ht="17" thickBot="1" x14ac:dyDescent="0.25">
      <c r="A7" s="501"/>
      <c r="B7" s="502"/>
      <c r="C7" s="325">
        <v>25</v>
      </c>
      <c r="D7" s="327" t="s">
        <v>38</v>
      </c>
      <c r="E7" s="324">
        <v>2630</v>
      </c>
      <c r="F7" s="34" t="str">
        <f>IF(D8="","",CONCATENATE("Melhor ",INDEX($AC$13:$AD$19,MATCH($D$4,$AC$13:$AC$19,0),2),"/",INDEX($AC$13:$AD$19,MATCH($D$5,$AC$13:$AC$19,0),2),"/",INDEX($AC$13:$AD$19,MATCH($D$6,$AC$13:$AC$19,0),2),"/",INDEX($AC$13:$AD$19,MATCH($D$7,$AC$13:$AC$19,0),2),"/",INDEX($AC$13:$AD$19,MATCH($D$8,$AC$13:$AC$19,0),2)))</f>
        <v>Melhor B2/B1/B0/AG/AM</v>
      </c>
      <c r="G7" s="33">
        <f>INDEX(F57:F68,MATCH(O7,G57:G68,0))</f>
        <v>2644.2284999999997</v>
      </c>
      <c r="I7" s="579" t="str">
        <f>IF(D8="","",CONCATENATE(INDEX($AC$13:$AD$19,MATCH($D$4,AC13:AC19,0),2)," + ",INDEX($AC$13:$AD$19,MATCH($D$5,AC13:AC19,0),2)," + ",INDEX($AC$13:$AD$19,MATCH($D$6,$AC$13:$AC$19,0),2)," + ",INDEX($AC$13:$AD$19,MATCH($D$7,$AC$13:$AC$19,0),2)," + ",INDEX($AC$13:$AD$19,MATCH($D$8,$AC$13:$AC$19,0),2)))</f>
        <v>B2 + B1 + B0 + AG + AM</v>
      </c>
      <c r="J7" s="580"/>
      <c r="K7" s="580"/>
      <c r="L7" s="580"/>
      <c r="M7" s="580"/>
      <c r="N7" s="580"/>
      <c r="O7" s="581">
        <f>IF(I7="","",MIN(G57:G68))</f>
        <v>22.052122197457592</v>
      </c>
      <c r="P7" s="582"/>
      <c r="R7" s="284" t="s">
        <v>145</v>
      </c>
      <c r="S7" s="56"/>
      <c r="U7" s="279">
        <f t="shared" ref="U7:Z7" si="1">IF(U$2="","",IF(U$3="B",U$4/$U$8,IF(U$3="A",U$4/$W$8,"X")))</f>
        <v>0.14000000000000012</v>
      </c>
      <c r="V7" s="295">
        <f t="shared" si="1"/>
        <v>5.9999999999999984E-2</v>
      </c>
      <c r="W7" s="279">
        <f t="shared" si="1"/>
        <v>0.79999999999999993</v>
      </c>
      <c r="X7" s="279">
        <f t="shared" si="1"/>
        <v>0.38813122005160339</v>
      </c>
      <c r="Y7" s="279">
        <f t="shared" si="1"/>
        <v>0.46443051971986732</v>
      </c>
      <c r="Z7" s="279">
        <f t="shared" si="1"/>
        <v>0.14743826022852932</v>
      </c>
    </row>
    <row r="8" spans="1:30" ht="17" thickBot="1" x14ac:dyDescent="0.25">
      <c r="A8" s="601" t="s">
        <v>21</v>
      </c>
      <c r="B8" s="602"/>
      <c r="C8" s="362">
        <f>IF(C5*C6*C7/1000&lt;10,"Aumentar Vol",C5*C6*C7/1000)</f>
        <v>15.625</v>
      </c>
      <c r="D8" s="327" t="s">
        <v>15</v>
      </c>
      <c r="E8" s="324">
        <v>2630</v>
      </c>
      <c r="F8" s="34" t="str">
        <f>IF(D9="","",CONCATENATE("Melhor ",INDEX($AC$13:$AD$19,MATCH($D$4,$AC$13:$AC$19,0),2),"/",INDEX($AC$13:$AD$19,MATCH($D$5,$AC$13:$AC$19,0),2),"/",INDEX($AC$13:$AD$19,MATCH($D$6,$AC$13:$AC$19,0),2),"/",INDEX($AC$13:$AD$19,MATCH($D$7,$AC$13:$AC$19,0),2),"/",INDEX($AC$13:$AD$19,MATCH($D$8,$AC$13:$AC$19,0),2),"/",INDEX($AC$13:$AD$19,MATCH($D$9,$AC$13:$AC$19,0),2)))</f>
        <v>Melhor B2/B1/B0/AG/AM/AF</v>
      </c>
      <c r="G8" s="33">
        <f>INDEX(F72:F83,MATCH(O8,G72:G83,0))</f>
        <v>2642.8056499999993</v>
      </c>
      <c r="I8" s="603" t="str">
        <f>IF(D9="","",CONCATENATE(INDEX($AC$13:$AD$19,MATCH($D$4,AC13:AC19,0),2)," + ",INDEX($AC$13:$AD$19,MATCH($D$5,AC13:AC19,0),2)," + ",INDEX($AC$13:$AD$19,MATCH($D$6,$AC$13:$AC$19,0),2)," + ",INDEX($AC$13:$AD$19,MATCH($D$7,$AC$13:$AC$19,0),2)," + ",INDEX($AC$13:$AD$19,MATCH($D$8,$AC$13:$AC$19,0),2)," + ",INDEX($AC$13:$AD$19,MATCH($D$9,$AC$13:$AC$19,0),2)))</f>
        <v>B2 + B1 + B0 + AG + AM + AF</v>
      </c>
      <c r="J8" s="604"/>
      <c r="K8" s="604"/>
      <c r="L8" s="604"/>
      <c r="M8" s="604"/>
      <c r="N8" s="604"/>
      <c r="O8" s="605">
        <f>IF(I8="","",MIN(G72:G83))</f>
        <v>19.581222327112837</v>
      </c>
      <c r="P8" s="606"/>
      <c r="R8" s="284" t="s">
        <v>146</v>
      </c>
      <c r="T8" s="286" t="s">
        <v>147</v>
      </c>
      <c r="U8" s="285">
        <f>SUMIF($U$3:$Z$3,"=B",$U$4:$Z$4)</f>
        <v>1.6087500000000001</v>
      </c>
      <c r="V8" s="286" t="s">
        <v>148</v>
      </c>
      <c r="W8" s="285">
        <f>SUMIF($U$3:$Z$3,"=A",$U$4:$Z$4)</f>
        <v>3.3912499999999999</v>
      </c>
    </row>
    <row r="9" spans="1:30" ht="17" thickBot="1" x14ac:dyDescent="0.25">
      <c r="A9" s="36"/>
      <c r="B9" s="37"/>
      <c r="C9" s="35"/>
      <c r="D9" s="328" t="s">
        <v>16</v>
      </c>
      <c r="E9" s="325">
        <v>2630</v>
      </c>
      <c r="F9" s="38"/>
      <c r="G9" s="39"/>
    </row>
    <row r="10" spans="1:30" s="40" customFormat="1" ht="21" thickBot="1" x14ac:dyDescent="0.25">
      <c r="A10" s="598" t="str">
        <f>CONCATENATE("Determinação da massa unitária compactada da ",$D$4," e ",D5)</f>
        <v>Determinação da massa unitária compactada da Brita 2 e Brita 1</v>
      </c>
      <c r="B10" s="599"/>
      <c r="C10" s="599"/>
      <c r="D10" s="599"/>
      <c r="E10" s="599"/>
      <c r="F10" s="599"/>
      <c r="G10" s="600"/>
      <c r="I10" s="23"/>
      <c r="J10" s="23"/>
      <c r="K10" s="23"/>
      <c r="L10" s="23"/>
      <c r="M10" s="23"/>
      <c r="N10" s="23"/>
      <c r="O10" s="23"/>
      <c r="P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30" ht="31" x14ac:dyDescent="0.15">
      <c r="A11" s="41" t="str">
        <f>CONCATENATE(INDEX($AC$13:$AD$19,MATCH($D$4,$AC$13:$AC$19,0),2)," (%)")</f>
        <v>B2 (%)</v>
      </c>
      <c r="B11" s="42" t="str">
        <f>CONCATENATE(INDEX($AC$13:$AD$19,MATCH($D$5,$AC$13:$AC$19,0),2)," (%)")</f>
        <v>B1 (%)</v>
      </c>
      <c r="C11" s="42" t="s">
        <v>22</v>
      </c>
      <c r="D11" s="42" t="s">
        <v>23</v>
      </c>
      <c r="E11" s="42" t="s">
        <v>24</v>
      </c>
      <c r="F11" s="42" t="s">
        <v>25</v>
      </c>
      <c r="G11" s="43" t="s">
        <v>26</v>
      </c>
      <c r="I11" s="40"/>
      <c r="J11" s="40"/>
      <c r="K11" s="40"/>
      <c r="L11" s="40"/>
      <c r="M11" s="40"/>
      <c r="N11" s="40"/>
      <c r="O11" s="40"/>
      <c r="P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30" x14ac:dyDescent="0.15">
      <c r="A12" s="316">
        <v>100</v>
      </c>
      <c r="B12" s="44">
        <f>IF(C12="","",100-A12)</f>
        <v>0</v>
      </c>
      <c r="C12" s="319">
        <v>28.52</v>
      </c>
      <c r="D12" s="45">
        <f>IF(C12="","",C12-$C$4)</f>
        <v>24.605</v>
      </c>
      <c r="E12" s="45">
        <f t="shared" ref="E12:E23" si="2">IF(C12="","",(D12/$C$8)*1000)</f>
        <v>1574.72</v>
      </c>
      <c r="F12" s="46">
        <f>IF(C12="","",(($E$4*A12)+($E$5*B12))/100)</f>
        <v>3000</v>
      </c>
      <c r="G12" s="47">
        <f>IF(C12="","",((F12-E12)/F12)*100)</f>
        <v>47.509333333333331</v>
      </c>
      <c r="AC12" s="596" t="s">
        <v>126</v>
      </c>
      <c r="AD12" s="597"/>
    </row>
    <row r="13" spans="1:30" x14ac:dyDescent="0.15">
      <c r="A13" s="316">
        <v>90</v>
      </c>
      <c r="B13" s="44">
        <f t="shared" ref="B13:B23" si="3">IF(C13="","",100-A13)</f>
        <v>10</v>
      </c>
      <c r="C13" s="319">
        <v>28.635000000000002</v>
      </c>
      <c r="D13" s="45">
        <f t="shared" ref="D13:D23" si="4">IF(C13="","",C13-$C$4)</f>
        <v>24.720000000000002</v>
      </c>
      <c r="E13" s="45">
        <f t="shared" si="2"/>
        <v>1582.0800000000002</v>
      </c>
      <c r="F13" s="46">
        <f t="shared" ref="F13:F23" si="5">IF(C13="","",(($E$4*A13)+($E$5*B13))/100)</f>
        <v>2983</v>
      </c>
      <c r="G13" s="47">
        <f t="shared" ref="G13:G23" si="6">IF(C13="","",((F13-E13)/F13)*100)</f>
        <v>46.963459604425076</v>
      </c>
      <c r="AC13" s="56"/>
      <c r="AD13" s="56"/>
    </row>
    <row r="14" spans="1:30" x14ac:dyDescent="0.15">
      <c r="A14" s="316">
        <v>80</v>
      </c>
      <c r="B14" s="44">
        <f t="shared" si="3"/>
        <v>20</v>
      </c>
      <c r="C14" s="319">
        <v>29.14</v>
      </c>
      <c r="D14" s="45">
        <f t="shared" si="4"/>
        <v>25.225000000000001</v>
      </c>
      <c r="E14" s="45">
        <f t="shared" si="2"/>
        <v>1614.4</v>
      </c>
      <c r="F14" s="46">
        <f t="shared" si="5"/>
        <v>2966</v>
      </c>
      <c r="G14" s="47">
        <f t="shared" si="6"/>
        <v>45.569790964261628</v>
      </c>
      <c r="AC14" s="56" t="s">
        <v>127</v>
      </c>
      <c r="AD14" s="56" t="s">
        <v>128</v>
      </c>
    </row>
    <row r="15" spans="1:30" x14ac:dyDescent="0.15">
      <c r="A15" s="316">
        <v>70</v>
      </c>
      <c r="B15" s="44">
        <f t="shared" si="3"/>
        <v>30</v>
      </c>
      <c r="C15" s="319">
        <v>29.585000000000001</v>
      </c>
      <c r="D15" s="45">
        <f t="shared" si="4"/>
        <v>25.67</v>
      </c>
      <c r="E15" s="45">
        <f t="shared" si="2"/>
        <v>1642.88</v>
      </c>
      <c r="F15" s="46">
        <f t="shared" si="5"/>
        <v>2949</v>
      </c>
      <c r="G15" s="47">
        <f t="shared" si="6"/>
        <v>44.290267887419461</v>
      </c>
      <c r="AC15" s="56" t="s">
        <v>13</v>
      </c>
      <c r="AD15" s="56" t="s">
        <v>129</v>
      </c>
    </row>
    <row r="16" spans="1:30" x14ac:dyDescent="0.15">
      <c r="A16" s="317">
        <v>65</v>
      </c>
      <c r="B16" s="44">
        <f t="shared" si="3"/>
        <v>35</v>
      </c>
      <c r="C16" s="320">
        <v>28.6</v>
      </c>
      <c r="D16" s="45">
        <f t="shared" si="4"/>
        <v>24.685000000000002</v>
      </c>
      <c r="E16" s="45">
        <f t="shared" si="2"/>
        <v>1579.8400000000001</v>
      </c>
      <c r="F16" s="46">
        <f t="shared" si="5"/>
        <v>2940.5</v>
      </c>
      <c r="G16" s="47">
        <f t="shared" si="6"/>
        <v>46.273082809046073</v>
      </c>
      <c r="AC16" s="56" t="s">
        <v>14</v>
      </c>
      <c r="AD16" s="56" t="s">
        <v>130</v>
      </c>
    </row>
    <row r="17" spans="1:30" x14ac:dyDescent="0.15">
      <c r="A17" s="316">
        <v>60</v>
      </c>
      <c r="B17" s="44">
        <f t="shared" si="3"/>
        <v>40</v>
      </c>
      <c r="C17" s="319">
        <v>29.3</v>
      </c>
      <c r="D17" s="45">
        <f t="shared" si="4"/>
        <v>25.385000000000002</v>
      </c>
      <c r="E17" s="45">
        <f t="shared" si="2"/>
        <v>1624.64</v>
      </c>
      <c r="F17" s="46">
        <f t="shared" si="5"/>
        <v>2932</v>
      </c>
      <c r="G17" s="47">
        <f t="shared" si="6"/>
        <v>44.589358799454295</v>
      </c>
      <c r="AC17" s="56" t="s">
        <v>38</v>
      </c>
      <c r="AD17" s="56" t="s">
        <v>131</v>
      </c>
    </row>
    <row r="18" spans="1:30" x14ac:dyDescent="0.15">
      <c r="A18" s="316">
        <v>50</v>
      </c>
      <c r="B18" s="44">
        <f t="shared" si="3"/>
        <v>50</v>
      </c>
      <c r="C18" s="319">
        <v>29.024000000000001</v>
      </c>
      <c r="D18" s="45">
        <f t="shared" si="4"/>
        <v>25.109000000000002</v>
      </c>
      <c r="E18" s="45">
        <f t="shared" si="2"/>
        <v>1606.9760000000001</v>
      </c>
      <c r="F18" s="46">
        <f t="shared" si="5"/>
        <v>2915</v>
      </c>
      <c r="G18" s="47">
        <f t="shared" si="6"/>
        <v>44.872178387650081</v>
      </c>
      <c r="AC18" s="56" t="s">
        <v>15</v>
      </c>
      <c r="AD18" s="56" t="s">
        <v>132</v>
      </c>
    </row>
    <row r="19" spans="1:30" x14ac:dyDescent="0.15">
      <c r="A19" s="316">
        <v>40</v>
      </c>
      <c r="B19" s="44">
        <f t="shared" si="3"/>
        <v>60</v>
      </c>
      <c r="C19" s="319">
        <v>28.635000000000002</v>
      </c>
      <c r="D19" s="45">
        <f t="shared" si="4"/>
        <v>24.720000000000002</v>
      </c>
      <c r="E19" s="45">
        <f t="shared" si="2"/>
        <v>1582.0800000000002</v>
      </c>
      <c r="F19" s="46">
        <f t="shared" si="5"/>
        <v>2898</v>
      </c>
      <c r="G19" s="47">
        <f t="shared" si="6"/>
        <v>45.407867494824011</v>
      </c>
      <c r="AC19" s="56" t="s">
        <v>16</v>
      </c>
      <c r="AD19" s="56" t="s">
        <v>133</v>
      </c>
    </row>
    <row r="20" spans="1:30" x14ac:dyDescent="0.15">
      <c r="A20" s="316"/>
      <c r="B20" s="44" t="str">
        <f t="shared" si="3"/>
        <v/>
      </c>
      <c r="C20" s="319"/>
      <c r="D20" s="45" t="str">
        <f t="shared" si="4"/>
        <v/>
      </c>
      <c r="E20" s="45" t="str">
        <f t="shared" si="2"/>
        <v/>
      </c>
      <c r="F20" s="46" t="str">
        <f t="shared" si="5"/>
        <v/>
      </c>
      <c r="G20" s="47" t="str">
        <f t="shared" si="6"/>
        <v/>
      </c>
    </row>
    <row r="21" spans="1:30" x14ac:dyDescent="0.15">
      <c r="A21" s="316"/>
      <c r="B21" s="44" t="str">
        <f t="shared" si="3"/>
        <v/>
      </c>
      <c r="C21" s="319"/>
      <c r="D21" s="45" t="str">
        <f t="shared" si="4"/>
        <v/>
      </c>
      <c r="E21" s="45" t="str">
        <f t="shared" si="2"/>
        <v/>
      </c>
      <c r="F21" s="46" t="str">
        <f t="shared" si="5"/>
        <v/>
      </c>
      <c r="G21" s="47" t="str">
        <f t="shared" si="6"/>
        <v/>
      </c>
    </row>
    <row r="22" spans="1:30" x14ac:dyDescent="0.15">
      <c r="A22" s="316"/>
      <c r="B22" s="44" t="str">
        <f t="shared" si="3"/>
        <v/>
      </c>
      <c r="C22" s="319"/>
      <c r="D22" s="45" t="str">
        <f t="shared" si="4"/>
        <v/>
      </c>
      <c r="E22" s="45" t="str">
        <f t="shared" si="2"/>
        <v/>
      </c>
      <c r="F22" s="46" t="str">
        <f t="shared" si="5"/>
        <v/>
      </c>
      <c r="G22" s="47" t="str">
        <f t="shared" si="6"/>
        <v/>
      </c>
    </row>
    <row r="23" spans="1:30" ht="14" thickBot="1" x14ac:dyDescent="0.2">
      <c r="A23" s="318"/>
      <c r="B23" s="48" t="str">
        <f t="shared" si="3"/>
        <v/>
      </c>
      <c r="C23" s="321"/>
      <c r="D23" s="49" t="str">
        <f t="shared" si="4"/>
        <v/>
      </c>
      <c r="E23" s="49" t="str">
        <f t="shared" si="2"/>
        <v/>
      </c>
      <c r="F23" s="50" t="str">
        <f t="shared" si="5"/>
        <v/>
      </c>
      <c r="G23" s="51" t="str">
        <f t="shared" si="6"/>
        <v/>
      </c>
    </row>
    <row r="24" spans="1:30" ht="12" customHeight="1" thickBot="1" x14ac:dyDescent="0.2">
      <c r="A24" s="52"/>
      <c r="G24" s="53"/>
    </row>
    <row r="25" spans="1:30" ht="21" thickBot="1" x14ac:dyDescent="0.25">
      <c r="A25" s="598" t="str">
        <f>CONCATENATE("Determinação da massa unitária compactada da ",$D$4,"/",$D$5," e ",$D$6)</f>
        <v>Determinação da massa unitária compactada da Brita 2/Brita 1 e Brita 0</v>
      </c>
      <c r="B25" s="599"/>
      <c r="C25" s="599"/>
      <c r="D25" s="599"/>
      <c r="E25" s="599"/>
      <c r="F25" s="599"/>
      <c r="G25" s="600"/>
    </row>
    <row r="26" spans="1:30" ht="31" x14ac:dyDescent="0.15">
      <c r="A26" s="41" t="str">
        <f>CONCATENATE(INDEX($AC$13:$AD$19,MATCH($D$4,$AC$13:$AC$19,0),2),"/",INDEX($AC$13:$AD$19,MATCH($D$5,$AC$13:$AC$19,0),2)," (%)")</f>
        <v>B2/B1 (%)</v>
      </c>
      <c r="B26" s="42" t="str">
        <f>CONCATENATE(INDEX($AC$13:$AD$19,MATCH($D$6,$AC$13:$AC$19,0),2)," (%)")</f>
        <v>B0 (%)</v>
      </c>
      <c r="C26" s="42" t="s">
        <v>22</v>
      </c>
      <c r="D26" s="42" t="s">
        <v>23</v>
      </c>
      <c r="E26" s="42" t="s">
        <v>24</v>
      </c>
      <c r="F26" s="42" t="s">
        <v>25</v>
      </c>
      <c r="G26" s="43" t="s">
        <v>26</v>
      </c>
    </row>
    <row r="27" spans="1:30" x14ac:dyDescent="0.15">
      <c r="A27" s="316">
        <v>100</v>
      </c>
      <c r="B27" s="44">
        <f t="shared" ref="B27:B38" si="7">IF(C27="","",100-A27)</f>
        <v>0</v>
      </c>
      <c r="C27" s="319">
        <v>29.545000000000002</v>
      </c>
      <c r="D27" s="45">
        <f>IF(C27="","",C27-$C$4)</f>
        <v>25.630000000000003</v>
      </c>
      <c r="E27" s="45">
        <f t="shared" ref="E27:E38" si="8">IF(C27="","",(D27/$C$8)*1000)</f>
        <v>1640.3200000000002</v>
      </c>
      <c r="F27" s="46">
        <f>IF(C27="","",(($G$4*A27)+($E$6*B27))/100)</f>
        <v>2949</v>
      </c>
      <c r="G27" s="47">
        <f>IF(C27="","",((F27-E27)/F27)*100)</f>
        <v>44.377076975245835</v>
      </c>
    </row>
    <row r="28" spans="1:30" x14ac:dyDescent="0.15">
      <c r="A28" s="316">
        <v>90</v>
      </c>
      <c r="B28" s="44">
        <f t="shared" si="7"/>
        <v>10</v>
      </c>
      <c r="C28" s="319">
        <v>31.23</v>
      </c>
      <c r="D28" s="45">
        <f t="shared" ref="D28:D38" si="9">IF(C28="","",C28-$C$4)</f>
        <v>27.315000000000001</v>
      </c>
      <c r="E28" s="45">
        <f t="shared" si="8"/>
        <v>1748.16</v>
      </c>
      <c r="F28" s="46">
        <f t="shared" ref="F28:F38" si="10">IF(C28="","",(($G$4*A28)+($E$6*B28))/100)</f>
        <v>2914.1</v>
      </c>
      <c r="G28" s="47">
        <f t="shared" ref="G28:G38" si="11">IF(C28="","",((F28-E28)/F28)*100)</f>
        <v>40.010294773686553</v>
      </c>
    </row>
    <row r="29" spans="1:30" x14ac:dyDescent="0.15">
      <c r="A29" s="316">
        <v>80</v>
      </c>
      <c r="B29" s="44">
        <f t="shared" si="7"/>
        <v>20</v>
      </c>
      <c r="C29" s="319">
        <v>32.356000000000002</v>
      </c>
      <c r="D29" s="45">
        <f t="shared" si="9"/>
        <v>28.441000000000003</v>
      </c>
      <c r="E29" s="45">
        <f t="shared" si="8"/>
        <v>1820.2240000000002</v>
      </c>
      <c r="F29" s="46">
        <f t="shared" si="10"/>
        <v>2879.2</v>
      </c>
      <c r="G29" s="47">
        <f t="shared" si="11"/>
        <v>36.780216726868566</v>
      </c>
    </row>
    <row r="30" spans="1:30" x14ac:dyDescent="0.15">
      <c r="A30" s="316">
        <v>70</v>
      </c>
      <c r="B30" s="44">
        <f t="shared" si="7"/>
        <v>30</v>
      </c>
      <c r="C30" s="319">
        <v>32.997999999999998</v>
      </c>
      <c r="D30" s="45">
        <f t="shared" si="9"/>
        <v>29.082999999999998</v>
      </c>
      <c r="E30" s="45">
        <f t="shared" si="8"/>
        <v>1861.3119999999999</v>
      </c>
      <c r="F30" s="46">
        <f t="shared" si="10"/>
        <v>2844.3</v>
      </c>
      <c r="G30" s="47">
        <f t="shared" si="11"/>
        <v>34.559926871286436</v>
      </c>
    </row>
    <row r="31" spans="1:30" x14ac:dyDescent="0.15">
      <c r="A31" s="316">
        <v>65</v>
      </c>
      <c r="B31" s="44">
        <f t="shared" si="7"/>
        <v>35</v>
      </c>
      <c r="C31" s="319">
        <v>33.454999999999998</v>
      </c>
      <c r="D31" s="45">
        <f t="shared" si="9"/>
        <v>29.54</v>
      </c>
      <c r="E31" s="45">
        <f t="shared" si="8"/>
        <v>1890.56</v>
      </c>
      <c r="F31" s="46">
        <f t="shared" si="10"/>
        <v>2826.85</v>
      </c>
      <c r="G31" s="47">
        <f t="shared" si="11"/>
        <v>33.12131878239029</v>
      </c>
    </row>
    <row r="32" spans="1:30" x14ac:dyDescent="0.15">
      <c r="A32" s="316">
        <v>60</v>
      </c>
      <c r="B32" s="44">
        <f t="shared" si="7"/>
        <v>40</v>
      </c>
      <c r="C32" s="319">
        <v>31.556000000000001</v>
      </c>
      <c r="D32" s="45">
        <f t="shared" si="9"/>
        <v>27.641000000000002</v>
      </c>
      <c r="E32" s="45">
        <f t="shared" si="8"/>
        <v>1769.0240000000001</v>
      </c>
      <c r="F32" s="46">
        <f t="shared" si="10"/>
        <v>2809.4</v>
      </c>
      <c r="G32" s="47">
        <f t="shared" si="11"/>
        <v>37.031964120452763</v>
      </c>
    </row>
    <row r="33" spans="1:7" x14ac:dyDescent="0.15">
      <c r="A33" s="317">
        <v>55</v>
      </c>
      <c r="B33" s="44">
        <f t="shared" si="7"/>
        <v>45</v>
      </c>
      <c r="C33" s="320">
        <v>33.200000000000003</v>
      </c>
      <c r="D33" s="45">
        <f t="shared" si="9"/>
        <v>29.285000000000004</v>
      </c>
      <c r="E33" s="45">
        <f t="shared" si="8"/>
        <v>1874.2400000000002</v>
      </c>
      <c r="F33" s="46">
        <f t="shared" si="10"/>
        <v>2791.95</v>
      </c>
      <c r="G33" s="47">
        <f t="shared" si="11"/>
        <v>32.869857984562749</v>
      </c>
    </row>
    <row r="34" spans="1:7" x14ac:dyDescent="0.15">
      <c r="A34" s="316">
        <v>50</v>
      </c>
      <c r="B34" s="44">
        <f t="shared" si="7"/>
        <v>50</v>
      </c>
      <c r="C34" s="319">
        <v>32.5</v>
      </c>
      <c r="D34" s="45">
        <f t="shared" si="9"/>
        <v>28.585000000000001</v>
      </c>
      <c r="E34" s="45">
        <f t="shared" si="8"/>
        <v>1829.44</v>
      </c>
      <c r="F34" s="46">
        <f t="shared" si="10"/>
        <v>2774.5</v>
      </c>
      <c r="G34" s="47">
        <f t="shared" si="11"/>
        <v>34.062353577221124</v>
      </c>
    </row>
    <row r="35" spans="1:7" x14ac:dyDescent="0.15">
      <c r="A35" s="316">
        <v>40</v>
      </c>
      <c r="B35" s="44">
        <f t="shared" si="7"/>
        <v>60</v>
      </c>
      <c r="C35" s="319">
        <v>31.3</v>
      </c>
      <c r="D35" s="45">
        <f t="shared" si="9"/>
        <v>27.385000000000002</v>
      </c>
      <c r="E35" s="45">
        <f t="shared" si="8"/>
        <v>1752.64</v>
      </c>
      <c r="F35" s="46">
        <f t="shared" si="10"/>
        <v>2739.6</v>
      </c>
      <c r="G35" s="47">
        <f t="shared" si="11"/>
        <v>36.025697182070374</v>
      </c>
    </row>
    <row r="36" spans="1:7" x14ac:dyDescent="0.15">
      <c r="A36" s="316">
        <v>30</v>
      </c>
      <c r="B36" s="44">
        <f t="shared" si="7"/>
        <v>70</v>
      </c>
      <c r="C36" s="319">
        <v>32.567</v>
      </c>
      <c r="D36" s="45">
        <f t="shared" si="9"/>
        <v>28.652000000000001</v>
      </c>
      <c r="E36" s="45">
        <f t="shared" si="8"/>
        <v>1833.7280000000001</v>
      </c>
      <c r="F36" s="46">
        <f t="shared" si="10"/>
        <v>2704.7</v>
      </c>
      <c r="G36" s="47">
        <f t="shared" si="11"/>
        <v>32.202166598883423</v>
      </c>
    </row>
    <row r="37" spans="1:7" x14ac:dyDescent="0.15">
      <c r="A37" s="316">
        <v>20</v>
      </c>
      <c r="B37" s="44">
        <f t="shared" si="7"/>
        <v>80</v>
      </c>
      <c r="C37" s="319">
        <v>32.456000000000003</v>
      </c>
      <c r="D37" s="45">
        <f t="shared" si="9"/>
        <v>28.541000000000004</v>
      </c>
      <c r="E37" s="45">
        <f t="shared" si="8"/>
        <v>1826.6240000000003</v>
      </c>
      <c r="F37" s="46">
        <f t="shared" si="10"/>
        <v>2669.8</v>
      </c>
      <c r="G37" s="47">
        <f t="shared" si="11"/>
        <v>31.58199116038654</v>
      </c>
    </row>
    <row r="38" spans="1:7" ht="14" thickBot="1" x14ac:dyDescent="0.2">
      <c r="A38" s="318"/>
      <c r="B38" s="48" t="str">
        <f t="shared" si="7"/>
        <v/>
      </c>
      <c r="C38" s="321"/>
      <c r="D38" s="49" t="str">
        <f t="shared" si="9"/>
        <v/>
      </c>
      <c r="E38" s="49" t="str">
        <f t="shared" si="8"/>
        <v/>
      </c>
      <c r="F38" s="50" t="str">
        <f t="shared" si="10"/>
        <v/>
      </c>
      <c r="G38" s="51" t="str">
        <f t="shared" si="11"/>
        <v/>
      </c>
    </row>
    <row r="39" spans="1:7" ht="14" thickBot="1" x14ac:dyDescent="0.2">
      <c r="A39" s="52"/>
      <c r="G39" s="53"/>
    </row>
    <row r="40" spans="1:7" ht="21" thickBot="1" x14ac:dyDescent="0.25">
      <c r="A40" s="598" t="str">
        <f>CONCATENATE("Determinação da massa unitária compactada da ",$D$4,"/",$D$5,"/",$D$6," e ",$D$7)</f>
        <v>Determinação da massa unitária compactada da Brita 2/Brita 1/Brita 0 e Areia Grossa</v>
      </c>
      <c r="B40" s="599"/>
      <c r="C40" s="599"/>
      <c r="D40" s="599"/>
      <c r="E40" s="599"/>
      <c r="F40" s="599"/>
      <c r="G40" s="600"/>
    </row>
    <row r="41" spans="1:7" ht="31" x14ac:dyDescent="0.15">
      <c r="A41" s="41" t="str">
        <f>CONCATENATE(INDEX($AC$13:$AD$19,MATCH($D$4,$AC$13:$AC$19,0),2),"/",INDEX($AC$13:$AD$19,MATCH($D$5,$AC$13:$AC$19,0),2),"/",INDEX($AC$13:$AD$19,MATCH($D$6,$AC$13:$AC$19,0),2)," (%)")</f>
        <v>B2/B1/B0 (%)</v>
      </c>
      <c r="B41" s="42" t="str">
        <f>CONCATENATE(INDEX($AC$13:$AD$19,MATCH($D$7,$AC$13:$AC$19,0),2)," (%)")</f>
        <v>AG (%)</v>
      </c>
      <c r="C41" s="42" t="s">
        <v>22</v>
      </c>
      <c r="D41" s="42" t="s">
        <v>23</v>
      </c>
      <c r="E41" s="42" t="s">
        <v>24</v>
      </c>
      <c r="F41" s="42" t="s">
        <v>25</v>
      </c>
      <c r="G41" s="43" t="s">
        <v>26</v>
      </c>
    </row>
    <row r="42" spans="1:7" x14ac:dyDescent="0.15">
      <c r="A42" s="316">
        <v>100</v>
      </c>
      <c r="B42" s="44">
        <f t="shared" ref="B42:B53" si="12">IF(C42="","",100-A42)</f>
        <v>0</v>
      </c>
      <c r="C42" s="319">
        <v>29.545000000000002</v>
      </c>
      <c r="D42" s="45">
        <f>IF(C42="","",C42-$C$4)</f>
        <v>25.630000000000003</v>
      </c>
      <c r="E42" s="45">
        <f t="shared" ref="E42:E53" si="13">IF(C42="","",(D42/$C$8)*1000)</f>
        <v>1640.3200000000002</v>
      </c>
      <c r="F42" s="46">
        <f>IF(C42="","",(($G$5*A42)+($E$7*B42))/100)</f>
        <v>2669.8</v>
      </c>
      <c r="G42" s="47">
        <f>IF(C42="","",((F42-E42)/F42)*100)</f>
        <v>38.560191774664766</v>
      </c>
    </row>
    <row r="43" spans="1:7" x14ac:dyDescent="0.15">
      <c r="A43" s="316">
        <v>90</v>
      </c>
      <c r="B43" s="44">
        <f t="shared" si="12"/>
        <v>10</v>
      </c>
      <c r="C43" s="319">
        <v>31.23</v>
      </c>
      <c r="D43" s="45">
        <f t="shared" ref="D43:D53" si="14">IF(C43="","",C43-$C$4)</f>
        <v>27.315000000000001</v>
      </c>
      <c r="E43" s="45">
        <f t="shared" si="13"/>
        <v>1748.16</v>
      </c>
      <c r="F43" s="46">
        <f t="shared" ref="F43:F53" si="15">IF(C43="","",(($G$5*A43)+($E$7*B43))/100)</f>
        <v>2665.82</v>
      </c>
      <c r="G43" s="47">
        <f t="shared" ref="G43:G53" si="16">IF(C43="","",((F43-E43)/F43)*100)</f>
        <v>34.423179359446628</v>
      </c>
    </row>
    <row r="44" spans="1:7" x14ac:dyDescent="0.15">
      <c r="A44" s="316">
        <v>80</v>
      </c>
      <c r="B44" s="44">
        <f t="shared" si="12"/>
        <v>20</v>
      </c>
      <c r="C44" s="319">
        <v>32.356000000000002</v>
      </c>
      <c r="D44" s="45">
        <f t="shared" si="14"/>
        <v>28.441000000000003</v>
      </c>
      <c r="E44" s="45">
        <f t="shared" si="13"/>
        <v>1820.2240000000002</v>
      </c>
      <c r="F44" s="46">
        <f t="shared" si="15"/>
        <v>2661.84</v>
      </c>
      <c r="G44" s="47">
        <f t="shared" si="16"/>
        <v>31.617828269167191</v>
      </c>
    </row>
    <row r="45" spans="1:7" x14ac:dyDescent="0.15">
      <c r="A45" s="316">
        <v>70</v>
      </c>
      <c r="B45" s="44">
        <f t="shared" si="12"/>
        <v>30</v>
      </c>
      <c r="C45" s="319">
        <v>32.997999999999998</v>
      </c>
      <c r="D45" s="45">
        <f t="shared" si="14"/>
        <v>29.082999999999998</v>
      </c>
      <c r="E45" s="45">
        <f t="shared" si="13"/>
        <v>1861.3119999999999</v>
      </c>
      <c r="F45" s="46">
        <f t="shared" si="15"/>
        <v>2657.86</v>
      </c>
      <c r="G45" s="47">
        <f t="shared" si="16"/>
        <v>29.969524354179683</v>
      </c>
    </row>
    <row r="46" spans="1:7" x14ac:dyDescent="0.15">
      <c r="A46" s="316">
        <v>65</v>
      </c>
      <c r="B46" s="44">
        <f t="shared" si="12"/>
        <v>35</v>
      </c>
      <c r="C46" s="319">
        <v>33.454999999999998</v>
      </c>
      <c r="D46" s="45">
        <f t="shared" si="14"/>
        <v>29.54</v>
      </c>
      <c r="E46" s="45">
        <f t="shared" si="13"/>
        <v>1890.56</v>
      </c>
      <c r="F46" s="46">
        <f t="shared" si="15"/>
        <v>2655.87</v>
      </c>
      <c r="G46" s="47">
        <f t="shared" si="16"/>
        <v>28.815792941672598</v>
      </c>
    </row>
    <row r="47" spans="1:7" x14ac:dyDescent="0.15">
      <c r="A47" s="316">
        <v>60</v>
      </c>
      <c r="B47" s="44">
        <f t="shared" si="12"/>
        <v>40</v>
      </c>
      <c r="C47" s="319">
        <v>33.555999999999997</v>
      </c>
      <c r="D47" s="45">
        <f t="shared" si="14"/>
        <v>29.640999999999998</v>
      </c>
      <c r="E47" s="45">
        <f t="shared" si="13"/>
        <v>1897.0239999999999</v>
      </c>
      <c r="F47" s="46">
        <f t="shared" si="15"/>
        <v>2653.88</v>
      </c>
      <c r="G47" s="47">
        <f t="shared" si="16"/>
        <v>28.518847875563335</v>
      </c>
    </row>
    <row r="48" spans="1:7" x14ac:dyDescent="0.15">
      <c r="A48" s="317">
        <v>55</v>
      </c>
      <c r="B48" s="44">
        <f t="shared" si="12"/>
        <v>45</v>
      </c>
      <c r="C48" s="320">
        <v>35.75</v>
      </c>
      <c r="D48" s="45">
        <f t="shared" si="14"/>
        <v>31.835000000000001</v>
      </c>
      <c r="E48" s="45">
        <f t="shared" si="13"/>
        <v>2037.44</v>
      </c>
      <c r="F48" s="46">
        <f t="shared" si="15"/>
        <v>2651.89</v>
      </c>
      <c r="G48" s="47">
        <f t="shared" si="16"/>
        <v>23.170267243362275</v>
      </c>
    </row>
    <row r="49" spans="1:7" x14ac:dyDescent="0.15">
      <c r="A49" s="316">
        <v>50</v>
      </c>
      <c r="B49" s="44">
        <f t="shared" si="12"/>
        <v>50</v>
      </c>
      <c r="C49" s="319">
        <v>32.799999999999997</v>
      </c>
      <c r="D49" s="45">
        <f t="shared" si="14"/>
        <v>28.884999999999998</v>
      </c>
      <c r="E49" s="45">
        <f t="shared" si="13"/>
        <v>1848.6399999999999</v>
      </c>
      <c r="F49" s="46">
        <f t="shared" si="15"/>
        <v>2649.9</v>
      </c>
      <c r="G49" s="47">
        <f t="shared" si="16"/>
        <v>30.237367447828227</v>
      </c>
    </row>
    <row r="50" spans="1:7" x14ac:dyDescent="0.15">
      <c r="A50" s="316">
        <v>40</v>
      </c>
      <c r="B50" s="44">
        <f t="shared" si="12"/>
        <v>60</v>
      </c>
      <c r="C50" s="319">
        <v>33.75</v>
      </c>
      <c r="D50" s="45">
        <f t="shared" si="14"/>
        <v>29.835000000000001</v>
      </c>
      <c r="E50" s="45">
        <f t="shared" si="13"/>
        <v>1909.44</v>
      </c>
      <c r="F50" s="46">
        <f t="shared" si="15"/>
        <v>2645.92</v>
      </c>
      <c r="G50" s="47">
        <f t="shared" si="16"/>
        <v>27.834552820946968</v>
      </c>
    </row>
    <row r="51" spans="1:7" x14ac:dyDescent="0.15">
      <c r="A51" s="316">
        <v>30</v>
      </c>
      <c r="B51" s="44">
        <f t="shared" si="12"/>
        <v>70</v>
      </c>
      <c r="C51" s="319">
        <v>34.567</v>
      </c>
      <c r="D51" s="45">
        <f t="shared" si="14"/>
        <v>30.652000000000001</v>
      </c>
      <c r="E51" s="45">
        <f t="shared" si="13"/>
        <v>1961.7280000000001</v>
      </c>
      <c r="F51" s="46">
        <f t="shared" si="15"/>
        <v>2641.94</v>
      </c>
      <c r="G51" s="47">
        <f t="shared" si="16"/>
        <v>25.746686147300846</v>
      </c>
    </row>
    <row r="52" spans="1:7" x14ac:dyDescent="0.15">
      <c r="A52" s="316">
        <v>20</v>
      </c>
      <c r="B52" s="44">
        <f t="shared" si="12"/>
        <v>80</v>
      </c>
      <c r="C52" s="319">
        <v>32.456000000000003</v>
      </c>
      <c r="D52" s="45">
        <f t="shared" si="14"/>
        <v>28.541000000000004</v>
      </c>
      <c r="E52" s="45">
        <f t="shared" si="13"/>
        <v>1826.6240000000003</v>
      </c>
      <c r="F52" s="46">
        <f t="shared" si="15"/>
        <v>2637.96</v>
      </c>
      <c r="G52" s="47">
        <f t="shared" si="16"/>
        <v>30.756190389543427</v>
      </c>
    </row>
    <row r="53" spans="1:7" ht="14" thickBot="1" x14ac:dyDescent="0.2">
      <c r="A53" s="318">
        <v>0</v>
      </c>
      <c r="B53" s="48" t="str">
        <f t="shared" si="12"/>
        <v/>
      </c>
      <c r="C53" s="321"/>
      <c r="D53" s="49" t="str">
        <f t="shared" si="14"/>
        <v/>
      </c>
      <c r="E53" s="49" t="str">
        <f t="shared" si="13"/>
        <v/>
      </c>
      <c r="F53" s="50" t="str">
        <f t="shared" si="15"/>
        <v/>
      </c>
      <c r="G53" s="51" t="str">
        <f t="shared" si="16"/>
        <v/>
      </c>
    </row>
    <row r="54" spans="1:7" ht="14" thickBot="1" x14ac:dyDescent="0.2">
      <c r="A54" s="52"/>
      <c r="G54" s="53"/>
    </row>
    <row r="55" spans="1:7" ht="21" thickBot="1" x14ac:dyDescent="0.25">
      <c r="A55" s="568" t="str">
        <f>CONCATENATE("Determinação da massa unitária compactada da ",$D$4,"/",$D$5,"/",$D$6,"/",$D$7," e ",$D$8)</f>
        <v>Determinação da massa unitária compactada da Brita 2/Brita 1/Brita 0/Areia Grossa e Areia Média</v>
      </c>
      <c r="B55" s="569"/>
      <c r="C55" s="569"/>
      <c r="D55" s="569"/>
      <c r="E55" s="569"/>
      <c r="F55" s="569"/>
      <c r="G55" s="570"/>
    </row>
    <row r="56" spans="1:7" ht="31" x14ac:dyDescent="0.15">
      <c r="A56" s="41" t="str">
        <f>CONCATENATE(INDEX($AC$13:$AD$19,MATCH($D$4,$AC$13:$AC$19,0),2),"/",INDEX($AC$13:$AD$19,MATCH($D$5,$AC$13:$AC$19,0),2),"/",INDEX($AC$13:$AD$19,MATCH($D$6,$AC$13:$AC$19,0),2),"/ ",INDEX($AC$13:$AD$19,MATCH($D$7,$AC$13:$AC$19,0),2)," (%)")</f>
        <v>B2/B1/B0/ AG (%)</v>
      </c>
      <c r="B56" s="42" t="str">
        <f>CONCATENATE(INDEX($AC$13:$AD$19,MATCH($D$8,$AC$13:$AC$19,0),2)," (%)")</f>
        <v>AM (%)</v>
      </c>
      <c r="C56" s="42" t="s">
        <v>22</v>
      </c>
      <c r="D56" s="42" t="s">
        <v>23</v>
      </c>
      <c r="E56" s="42" t="s">
        <v>24</v>
      </c>
      <c r="F56" s="42" t="s">
        <v>25</v>
      </c>
      <c r="G56" s="43" t="s">
        <v>26</v>
      </c>
    </row>
    <row r="57" spans="1:7" x14ac:dyDescent="0.15">
      <c r="A57" s="316">
        <v>100</v>
      </c>
      <c r="B57" s="44">
        <f t="shared" ref="B57:B68" si="17">IF(C57="","",100-A57)</f>
        <v>0</v>
      </c>
      <c r="C57" s="319">
        <v>29.545000000000002</v>
      </c>
      <c r="D57" s="45">
        <f>IF(C57="","",C57-$C$4)</f>
        <v>25.630000000000003</v>
      </c>
      <c r="E57" s="45">
        <f t="shared" ref="E57:E68" si="18">IF(C57="","",(D57/$C$8)*1000)</f>
        <v>1640.3200000000002</v>
      </c>
      <c r="F57" s="46">
        <f>IF(C57="","",(($G$6*A57)+($E$8*B57))/100)</f>
        <v>2651.89</v>
      </c>
      <c r="G57" s="47">
        <f>IF(C57="","",((F57-E57)/F57)*100)</f>
        <v>38.145247351888642</v>
      </c>
    </row>
    <row r="58" spans="1:7" x14ac:dyDescent="0.15">
      <c r="A58" s="316">
        <v>90</v>
      </c>
      <c r="B58" s="44">
        <f t="shared" si="17"/>
        <v>10</v>
      </c>
      <c r="C58" s="319">
        <v>31.23</v>
      </c>
      <c r="D58" s="45">
        <f t="shared" ref="D58:D68" si="19">IF(C58="","",C58-$C$4)</f>
        <v>27.315000000000001</v>
      </c>
      <c r="E58" s="45">
        <f t="shared" si="18"/>
        <v>1748.16</v>
      </c>
      <c r="F58" s="46">
        <f t="shared" ref="F58:F68" si="20">IF(C58="","",(($G$6*A58)+($E$8*B58))/100)</f>
        <v>2649.7009999999996</v>
      </c>
      <c r="G58" s="47">
        <f t="shared" ref="G58:G68" si="21">IF(C58="","",((F58-E58)/F58)*100)</f>
        <v>34.024254057344571</v>
      </c>
    </row>
    <row r="59" spans="1:7" x14ac:dyDescent="0.15">
      <c r="A59" s="316">
        <v>80</v>
      </c>
      <c r="B59" s="44">
        <f t="shared" si="17"/>
        <v>20</v>
      </c>
      <c r="C59" s="319">
        <v>32.356000000000002</v>
      </c>
      <c r="D59" s="45">
        <f t="shared" si="19"/>
        <v>28.441000000000003</v>
      </c>
      <c r="E59" s="45">
        <f t="shared" si="18"/>
        <v>1820.2240000000002</v>
      </c>
      <c r="F59" s="46">
        <f t="shared" si="20"/>
        <v>2647.5119999999997</v>
      </c>
      <c r="G59" s="47">
        <f t="shared" si="21"/>
        <v>31.247752606975894</v>
      </c>
    </row>
    <row r="60" spans="1:7" x14ac:dyDescent="0.15">
      <c r="A60" s="316">
        <v>70</v>
      </c>
      <c r="B60" s="44">
        <f t="shared" si="17"/>
        <v>30</v>
      </c>
      <c r="C60" s="319">
        <v>32.997999999999998</v>
      </c>
      <c r="D60" s="45">
        <f t="shared" si="19"/>
        <v>29.082999999999998</v>
      </c>
      <c r="E60" s="45">
        <f t="shared" si="18"/>
        <v>1861.3119999999999</v>
      </c>
      <c r="F60" s="46">
        <f t="shared" si="20"/>
        <v>2645.3229999999999</v>
      </c>
      <c r="G60" s="47">
        <f t="shared" si="21"/>
        <v>29.637628372792285</v>
      </c>
    </row>
    <row r="61" spans="1:7" x14ac:dyDescent="0.15">
      <c r="A61" s="316">
        <v>65</v>
      </c>
      <c r="B61" s="44">
        <f t="shared" si="17"/>
        <v>35</v>
      </c>
      <c r="C61" s="319">
        <v>33.454999999999998</v>
      </c>
      <c r="D61" s="45">
        <f t="shared" si="19"/>
        <v>29.54</v>
      </c>
      <c r="E61" s="45">
        <f t="shared" si="18"/>
        <v>1890.56</v>
      </c>
      <c r="F61" s="46">
        <f t="shared" si="20"/>
        <v>2644.2284999999997</v>
      </c>
      <c r="G61" s="47">
        <f t="shared" si="21"/>
        <v>28.502396823875088</v>
      </c>
    </row>
    <row r="62" spans="1:7" x14ac:dyDescent="0.15">
      <c r="A62" s="316">
        <v>60</v>
      </c>
      <c r="B62" s="44">
        <f t="shared" si="17"/>
        <v>40</v>
      </c>
      <c r="C62" s="319">
        <v>33.555999999999997</v>
      </c>
      <c r="D62" s="45">
        <f t="shared" si="19"/>
        <v>29.640999999999998</v>
      </c>
      <c r="E62" s="45">
        <f t="shared" si="18"/>
        <v>1897.0239999999999</v>
      </c>
      <c r="F62" s="46">
        <f t="shared" si="20"/>
        <v>2643.134</v>
      </c>
      <c r="G62" s="47">
        <f t="shared" si="21"/>
        <v>28.228232091146349</v>
      </c>
    </row>
    <row r="63" spans="1:7" x14ac:dyDescent="0.15">
      <c r="A63" s="317">
        <v>50</v>
      </c>
      <c r="B63" s="44">
        <f t="shared" si="17"/>
        <v>50</v>
      </c>
      <c r="C63" s="320">
        <v>35</v>
      </c>
      <c r="D63" s="45">
        <f t="shared" si="19"/>
        <v>31.085000000000001</v>
      </c>
      <c r="E63" s="45">
        <f t="shared" si="18"/>
        <v>1989.44</v>
      </c>
      <c r="F63" s="46">
        <f t="shared" si="20"/>
        <v>2640.9450000000002</v>
      </c>
      <c r="G63" s="47">
        <f t="shared" si="21"/>
        <v>24.669389176980214</v>
      </c>
    </row>
    <row r="64" spans="1:7" x14ac:dyDescent="0.15">
      <c r="A64" s="316">
        <v>65</v>
      </c>
      <c r="B64" s="44">
        <f t="shared" si="17"/>
        <v>35</v>
      </c>
      <c r="C64" s="319">
        <v>36.119999999999997</v>
      </c>
      <c r="D64" s="45">
        <f t="shared" si="19"/>
        <v>32.204999999999998</v>
      </c>
      <c r="E64" s="45">
        <f t="shared" si="18"/>
        <v>2061.12</v>
      </c>
      <c r="F64" s="46">
        <f t="shared" si="20"/>
        <v>2644.2284999999997</v>
      </c>
      <c r="G64" s="47">
        <f t="shared" si="21"/>
        <v>22.052122197457592</v>
      </c>
    </row>
    <row r="65" spans="1:7" x14ac:dyDescent="0.15">
      <c r="A65" s="316">
        <v>40</v>
      </c>
      <c r="B65" s="44">
        <f t="shared" si="17"/>
        <v>60</v>
      </c>
      <c r="C65" s="319">
        <v>35.78</v>
      </c>
      <c r="D65" s="45">
        <f t="shared" si="19"/>
        <v>31.865000000000002</v>
      </c>
      <c r="E65" s="45">
        <f t="shared" si="18"/>
        <v>2039.3600000000004</v>
      </c>
      <c r="F65" s="46">
        <f t="shared" si="20"/>
        <v>2638.7559999999999</v>
      </c>
      <c r="G65" s="47">
        <f t="shared" si="21"/>
        <v>22.715097568702809</v>
      </c>
    </row>
    <row r="66" spans="1:7" x14ac:dyDescent="0.15">
      <c r="A66" s="316">
        <v>30</v>
      </c>
      <c r="B66" s="44">
        <f t="shared" si="17"/>
        <v>70</v>
      </c>
      <c r="C66" s="319">
        <v>34.567</v>
      </c>
      <c r="D66" s="45">
        <f t="shared" si="19"/>
        <v>30.652000000000001</v>
      </c>
      <c r="E66" s="45">
        <f t="shared" si="18"/>
        <v>1961.7280000000001</v>
      </c>
      <c r="F66" s="46">
        <f t="shared" si="20"/>
        <v>2636.567</v>
      </c>
      <c r="G66" s="47">
        <f t="shared" si="21"/>
        <v>25.595367005655454</v>
      </c>
    </row>
    <row r="67" spans="1:7" x14ac:dyDescent="0.15">
      <c r="A67" s="316">
        <v>20</v>
      </c>
      <c r="B67" s="44">
        <f t="shared" si="17"/>
        <v>80</v>
      </c>
      <c r="C67" s="319">
        <v>32.456000000000003</v>
      </c>
      <c r="D67" s="45">
        <f t="shared" si="19"/>
        <v>28.541000000000004</v>
      </c>
      <c r="E67" s="45">
        <f t="shared" si="18"/>
        <v>1826.6240000000003</v>
      </c>
      <c r="F67" s="46">
        <f t="shared" si="20"/>
        <v>2634.3779999999997</v>
      </c>
      <c r="G67" s="47">
        <f t="shared" si="21"/>
        <v>30.662038629232384</v>
      </c>
    </row>
    <row r="68" spans="1:7" ht="14" thickBot="1" x14ac:dyDescent="0.2">
      <c r="A68" s="318"/>
      <c r="B68" s="48" t="str">
        <f t="shared" si="17"/>
        <v/>
      </c>
      <c r="C68" s="321"/>
      <c r="D68" s="49" t="str">
        <f t="shared" si="19"/>
        <v/>
      </c>
      <c r="E68" s="49" t="str">
        <f t="shared" si="18"/>
        <v/>
      </c>
      <c r="F68" s="50" t="str">
        <f t="shared" si="20"/>
        <v/>
      </c>
      <c r="G68" s="51" t="str">
        <f t="shared" si="21"/>
        <v/>
      </c>
    </row>
    <row r="69" spans="1:7" ht="14" thickBot="1" x14ac:dyDescent="0.2">
      <c r="A69" s="52"/>
      <c r="G69" s="53"/>
    </row>
    <row r="70" spans="1:7" ht="21" thickBot="1" x14ac:dyDescent="0.25">
      <c r="A70" s="568" t="str">
        <f>CONCATENATE("Determinação da massa unitária compactada da ",$D$4,"/",$D$5,"/",$D$6,"/",$D$7,"/",$D$8," e ",$D$9)</f>
        <v>Determinação da massa unitária compactada da Brita 2/Brita 1/Brita 0/Areia Grossa/Areia Média e Areia Fina</v>
      </c>
      <c r="B70" s="569"/>
      <c r="C70" s="569"/>
      <c r="D70" s="569"/>
      <c r="E70" s="569"/>
      <c r="F70" s="569"/>
      <c r="G70" s="570"/>
    </row>
    <row r="71" spans="1:7" ht="31" x14ac:dyDescent="0.15">
      <c r="A71" s="41" t="str">
        <f>CONCATENATE(INDEX($AC$13:$AD$19,MATCH($D$4,$AC$13:$AC$19,0),2),"/",INDEX($AC$13:$AD$19,MATCH($D$5,$AC$13:$AC$19,0),2),"/",INDEX($AC$13:$AD$19,MATCH($D$6,$AC$13:$AC$19,0),2),"/ ",INDEX($AC$13:$AD$19,MATCH($D$7,$AC$13:$AC$19,0),2),"/",INDEX($AC$13:$AD$19,MATCH($D$8,$AC$13:$AC$19,0),2)," (%)")</f>
        <v>B2/B1/B0/ AG/AM (%)</v>
      </c>
      <c r="B71" s="42" t="str">
        <f>CONCATENATE(INDEX($AC$13:$AD$19,MATCH($D$9,$AC$13:$AC$19,0),2)," (%)")</f>
        <v>AF (%)</v>
      </c>
      <c r="C71" s="42" t="s">
        <v>22</v>
      </c>
      <c r="D71" s="42" t="s">
        <v>23</v>
      </c>
      <c r="E71" s="42" t="s">
        <v>24</v>
      </c>
      <c r="F71" s="42" t="s">
        <v>25</v>
      </c>
      <c r="G71" s="43" t="s">
        <v>26</v>
      </c>
    </row>
    <row r="72" spans="1:7" x14ac:dyDescent="0.15">
      <c r="A72" s="316">
        <v>100</v>
      </c>
      <c r="B72" s="44">
        <f t="shared" ref="B72:B83" si="22">IF(C72="","",100-A72)</f>
        <v>0</v>
      </c>
      <c r="C72" s="319">
        <v>34.997999999999998</v>
      </c>
      <c r="D72" s="45">
        <f>IF(C72="","",C72-$C$4)</f>
        <v>31.082999999999998</v>
      </c>
      <c r="E72" s="45">
        <f t="shared" ref="E72:E83" si="23">IF(C72="","",(D72/$C$8)*1000)</f>
        <v>1989.3119999999999</v>
      </c>
      <c r="F72" s="46">
        <f>IF(C72="","",(($G$7*A72)+($E$9*B72))/100)</f>
        <v>2644.2284999999997</v>
      </c>
      <c r="G72" s="47">
        <f>IF(C72="","",((F72-E72)/F72)*100)</f>
        <v>24.767772527979329</v>
      </c>
    </row>
    <row r="73" spans="1:7" x14ac:dyDescent="0.15">
      <c r="A73" s="316">
        <v>95</v>
      </c>
      <c r="B73" s="44">
        <f t="shared" si="22"/>
        <v>5</v>
      </c>
      <c r="C73" s="319">
        <v>36.789000000000001</v>
      </c>
      <c r="D73" s="45">
        <f t="shared" ref="D73:D83" si="24">IF(C73="","",C73-$C$4)</f>
        <v>32.874000000000002</v>
      </c>
      <c r="E73" s="45">
        <f t="shared" si="23"/>
        <v>2103.9360000000001</v>
      </c>
      <c r="F73" s="46">
        <f t="shared" ref="F73:F83" si="25">IF(C73="","",(($G$7*A73)+($E$9*B73))/100)</f>
        <v>2643.5170749999997</v>
      </c>
      <c r="G73" s="47">
        <f t="shared" ref="G73:G83" si="26">IF(C73="","",((F73-E73)/F73)*100)</f>
        <v>20.411484385815804</v>
      </c>
    </row>
    <row r="74" spans="1:7" x14ac:dyDescent="0.15">
      <c r="A74" s="317">
        <v>90</v>
      </c>
      <c r="B74" s="44">
        <f t="shared" si="22"/>
        <v>10</v>
      </c>
      <c r="C74" s="320">
        <v>37.122999999999998</v>
      </c>
      <c r="D74" s="45">
        <f t="shared" si="24"/>
        <v>33.207999999999998</v>
      </c>
      <c r="E74" s="45">
        <f t="shared" si="23"/>
        <v>2125.3119999999999</v>
      </c>
      <c r="F74" s="46">
        <f t="shared" si="25"/>
        <v>2642.8056499999993</v>
      </c>
      <c r="G74" s="47">
        <f t="shared" si="26"/>
        <v>19.581222327112837</v>
      </c>
    </row>
    <row r="75" spans="1:7" x14ac:dyDescent="0.15">
      <c r="A75" s="316">
        <v>85</v>
      </c>
      <c r="B75" s="44">
        <f t="shared" si="22"/>
        <v>15</v>
      </c>
      <c r="C75" s="319">
        <v>36.813000000000002</v>
      </c>
      <c r="D75" s="45">
        <f t="shared" si="24"/>
        <v>32.898000000000003</v>
      </c>
      <c r="E75" s="45">
        <f t="shared" si="23"/>
        <v>2105.4720000000002</v>
      </c>
      <c r="F75" s="46">
        <f t="shared" si="25"/>
        <v>2642.0942249999998</v>
      </c>
      <c r="G75" s="47">
        <f t="shared" si="26"/>
        <v>20.310487791176321</v>
      </c>
    </row>
    <row r="76" spans="1:7" x14ac:dyDescent="0.15">
      <c r="A76" s="316">
        <v>80</v>
      </c>
      <c r="B76" s="44">
        <f t="shared" si="22"/>
        <v>20</v>
      </c>
      <c r="C76" s="319">
        <v>36.189</v>
      </c>
      <c r="D76" s="45">
        <f t="shared" si="24"/>
        <v>32.274000000000001</v>
      </c>
      <c r="E76" s="45">
        <f t="shared" si="23"/>
        <v>2065.5360000000001</v>
      </c>
      <c r="F76" s="46">
        <f t="shared" si="25"/>
        <v>2641.3827999999999</v>
      </c>
      <c r="G76" s="47">
        <f t="shared" si="26"/>
        <v>21.800959709437034</v>
      </c>
    </row>
    <row r="77" spans="1:7" x14ac:dyDescent="0.15">
      <c r="A77" s="316">
        <v>70</v>
      </c>
      <c r="B77" s="44">
        <f t="shared" si="22"/>
        <v>30</v>
      </c>
      <c r="C77" s="319">
        <v>37</v>
      </c>
      <c r="D77" s="45">
        <f t="shared" si="24"/>
        <v>33.085000000000001</v>
      </c>
      <c r="E77" s="45">
        <f t="shared" si="23"/>
        <v>2117.44</v>
      </c>
      <c r="F77" s="46">
        <f t="shared" si="25"/>
        <v>2639.9599499999999</v>
      </c>
      <c r="G77" s="47">
        <f t="shared" si="26"/>
        <v>19.792722613083576</v>
      </c>
    </row>
    <row r="78" spans="1:7" x14ac:dyDescent="0.15">
      <c r="A78" s="316"/>
      <c r="B78" s="44" t="str">
        <f t="shared" si="22"/>
        <v/>
      </c>
      <c r="C78" s="319"/>
      <c r="D78" s="45" t="str">
        <f t="shared" si="24"/>
        <v/>
      </c>
      <c r="E78" s="45" t="str">
        <f t="shared" si="23"/>
        <v/>
      </c>
      <c r="F78" s="46" t="str">
        <f t="shared" si="25"/>
        <v/>
      </c>
      <c r="G78" s="47" t="str">
        <f t="shared" si="26"/>
        <v/>
      </c>
    </row>
    <row r="79" spans="1:7" x14ac:dyDescent="0.15">
      <c r="A79" s="316"/>
      <c r="B79" s="44" t="str">
        <f t="shared" si="22"/>
        <v/>
      </c>
      <c r="C79" s="319"/>
      <c r="D79" s="45" t="str">
        <f t="shared" si="24"/>
        <v/>
      </c>
      <c r="E79" s="45" t="str">
        <f t="shared" si="23"/>
        <v/>
      </c>
      <c r="F79" s="46" t="str">
        <f t="shared" si="25"/>
        <v/>
      </c>
      <c r="G79" s="47" t="str">
        <f t="shared" si="26"/>
        <v/>
      </c>
    </row>
    <row r="80" spans="1:7" x14ac:dyDescent="0.15">
      <c r="A80" s="316"/>
      <c r="B80" s="44" t="str">
        <f t="shared" si="22"/>
        <v/>
      </c>
      <c r="C80" s="319"/>
      <c r="D80" s="45" t="str">
        <f t="shared" si="24"/>
        <v/>
      </c>
      <c r="E80" s="45" t="str">
        <f t="shared" si="23"/>
        <v/>
      </c>
      <c r="F80" s="46" t="str">
        <f t="shared" si="25"/>
        <v/>
      </c>
      <c r="G80" s="47" t="str">
        <f t="shared" si="26"/>
        <v/>
      </c>
    </row>
    <row r="81" spans="1:7" x14ac:dyDescent="0.15">
      <c r="A81" s="316"/>
      <c r="B81" s="44" t="str">
        <f t="shared" si="22"/>
        <v/>
      </c>
      <c r="C81" s="319"/>
      <c r="D81" s="45" t="str">
        <f t="shared" si="24"/>
        <v/>
      </c>
      <c r="E81" s="45" t="str">
        <f t="shared" si="23"/>
        <v/>
      </c>
      <c r="F81" s="46" t="str">
        <f t="shared" si="25"/>
        <v/>
      </c>
      <c r="G81" s="47" t="str">
        <f t="shared" si="26"/>
        <v/>
      </c>
    </row>
    <row r="82" spans="1:7" x14ac:dyDescent="0.15">
      <c r="A82" s="316"/>
      <c r="B82" s="44" t="str">
        <f t="shared" si="22"/>
        <v/>
      </c>
      <c r="C82" s="319"/>
      <c r="D82" s="45" t="str">
        <f t="shared" si="24"/>
        <v/>
      </c>
      <c r="E82" s="45" t="str">
        <f t="shared" si="23"/>
        <v/>
      </c>
      <c r="F82" s="46" t="str">
        <f t="shared" si="25"/>
        <v/>
      </c>
      <c r="G82" s="47" t="str">
        <f t="shared" si="26"/>
        <v/>
      </c>
    </row>
    <row r="83" spans="1:7" ht="14" thickBot="1" x14ac:dyDescent="0.2">
      <c r="A83" s="318"/>
      <c r="B83" s="48" t="str">
        <f t="shared" si="22"/>
        <v/>
      </c>
      <c r="C83" s="321"/>
      <c r="D83" s="49" t="str">
        <f t="shared" si="24"/>
        <v/>
      </c>
      <c r="E83" s="49" t="str">
        <f t="shared" si="23"/>
        <v/>
      </c>
      <c r="F83" s="50" t="str">
        <f t="shared" si="25"/>
        <v/>
      </c>
      <c r="G83" s="51" t="str">
        <f t="shared" si="26"/>
        <v/>
      </c>
    </row>
    <row r="84" spans="1:7" x14ac:dyDescent="0.15">
      <c r="A84" s="27"/>
      <c r="B84" s="27"/>
      <c r="C84" s="57"/>
      <c r="D84" s="57"/>
      <c r="E84" s="55"/>
      <c r="F84" s="55"/>
    </row>
    <row r="85" spans="1:7" x14ac:dyDescent="0.15">
      <c r="A85" s="27"/>
      <c r="B85" s="27"/>
      <c r="C85" s="57"/>
      <c r="D85" s="57"/>
      <c r="E85" s="55"/>
      <c r="F85" s="55"/>
    </row>
    <row r="86" spans="1:7" x14ac:dyDescent="0.15">
      <c r="A86" s="27"/>
      <c r="B86" s="27"/>
      <c r="C86" s="57"/>
      <c r="D86" s="57"/>
      <c r="E86" s="55"/>
      <c r="F86" s="55"/>
    </row>
    <row r="87" spans="1:7" x14ac:dyDescent="0.15">
      <c r="A87" s="27"/>
      <c r="B87" s="27"/>
      <c r="C87" s="57"/>
      <c r="D87" s="57"/>
      <c r="E87" s="55"/>
      <c r="F87" s="55"/>
    </row>
    <row r="88" spans="1:7" x14ac:dyDescent="0.15">
      <c r="A88" s="27"/>
      <c r="B88" s="27"/>
      <c r="C88" s="57"/>
      <c r="D88" s="57"/>
      <c r="E88" s="55"/>
      <c r="F88" s="55"/>
    </row>
    <row r="89" spans="1:7" x14ac:dyDescent="0.15">
      <c r="A89" s="27"/>
      <c r="B89" s="27"/>
      <c r="C89" s="57"/>
      <c r="D89" s="57"/>
      <c r="E89" s="55"/>
      <c r="F89" s="55"/>
    </row>
    <row r="90" spans="1:7" x14ac:dyDescent="0.15">
      <c r="A90" s="27"/>
      <c r="B90" s="27"/>
      <c r="C90" s="57"/>
      <c r="D90" s="57"/>
      <c r="E90" s="55"/>
      <c r="F90" s="55"/>
    </row>
    <row r="92" spans="1:7" x14ac:dyDescent="0.15">
      <c r="A92" s="40"/>
      <c r="B92" s="40"/>
      <c r="C92" s="40"/>
      <c r="D92" s="40"/>
      <c r="E92" s="40"/>
      <c r="F92" s="40"/>
    </row>
    <row r="93" spans="1:7" x14ac:dyDescent="0.15">
      <c r="A93" s="56"/>
      <c r="B93" s="56"/>
      <c r="C93" s="56"/>
      <c r="D93" s="56"/>
      <c r="E93" s="56"/>
      <c r="F93" s="56"/>
    </row>
    <row r="94" spans="1:7" x14ac:dyDescent="0.15">
      <c r="A94" s="56"/>
      <c r="B94" s="56"/>
      <c r="C94" s="56"/>
      <c r="D94" s="56"/>
      <c r="E94" s="56"/>
      <c r="F94" s="56"/>
    </row>
    <row r="95" spans="1:7" x14ac:dyDescent="0.15">
      <c r="A95" s="27"/>
      <c r="B95" s="27"/>
      <c r="C95" s="54"/>
      <c r="D95" s="54"/>
      <c r="E95" s="54"/>
      <c r="F95" s="55"/>
    </row>
    <row r="96" spans="1:7" x14ac:dyDescent="0.15">
      <c r="A96" s="27"/>
      <c r="B96" s="27"/>
      <c r="C96" s="54"/>
      <c r="D96" s="54"/>
      <c r="E96" s="54"/>
      <c r="F96" s="55"/>
    </row>
    <row r="97" spans="1:6" x14ac:dyDescent="0.15">
      <c r="A97" s="27"/>
      <c r="B97" s="27"/>
      <c r="C97" s="54"/>
      <c r="D97" s="54"/>
      <c r="E97" s="54"/>
      <c r="F97" s="55"/>
    </row>
    <row r="98" spans="1:6" x14ac:dyDescent="0.15">
      <c r="A98" s="27"/>
      <c r="B98" s="27"/>
      <c r="C98" s="54"/>
      <c r="D98" s="54"/>
      <c r="E98" s="54"/>
      <c r="F98" s="55"/>
    </row>
    <row r="99" spans="1:6" x14ac:dyDescent="0.15">
      <c r="A99" s="27"/>
      <c r="B99" s="27"/>
      <c r="C99" s="54"/>
      <c r="D99" s="54"/>
      <c r="E99" s="54"/>
      <c r="F99" s="55"/>
    </row>
    <row r="100" spans="1:6" x14ac:dyDescent="0.15">
      <c r="A100" s="27"/>
      <c r="B100" s="27"/>
      <c r="C100" s="54"/>
      <c r="D100" s="54"/>
      <c r="E100" s="54"/>
      <c r="F100" s="55"/>
    </row>
    <row r="101" spans="1:6" x14ac:dyDescent="0.15">
      <c r="A101" s="58"/>
      <c r="B101" s="58"/>
      <c r="C101" s="54"/>
      <c r="D101" s="54"/>
      <c r="E101" s="54"/>
      <c r="F101" s="54"/>
    </row>
    <row r="102" spans="1:6" x14ac:dyDescent="0.15">
      <c r="A102" s="58"/>
      <c r="B102" s="58"/>
      <c r="C102" s="54"/>
      <c r="D102" s="54"/>
      <c r="E102" s="54"/>
      <c r="F102" s="54"/>
    </row>
    <row r="103" spans="1:6" x14ac:dyDescent="0.15">
      <c r="A103" s="27"/>
      <c r="B103" s="27"/>
      <c r="C103" s="54"/>
      <c r="D103" s="54"/>
      <c r="E103" s="54"/>
      <c r="F103" s="54"/>
    </row>
    <row r="104" spans="1:6" x14ac:dyDescent="0.15">
      <c r="A104" s="27"/>
      <c r="B104" s="27"/>
      <c r="C104" s="54"/>
      <c r="D104" s="54"/>
      <c r="E104" s="54"/>
      <c r="F104" s="55"/>
    </row>
    <row r="105" spans="1:6" x14ac:dyDescent="0.15">
      <c r="A105" s="58"/>
      <c r="B105" s="58"/>
      <c r="C105" s="54"/>
      <c r="D105" s="54"/>
      <c r="E105" s="54"/>
      <c r="F105" s="54"/>
    </row>
    <row r="106" spans="1:6" x14ac:dyDescent="0.15">
      <c r="A106" s="27"/>
      <c r="B106" s="27"/>
      <c r="C106" s="54"/>
      <c r="D106" s="54"/>
      <c r="E106" s="54"/>
      <c r="F106" s="55"/>
    </row>
    <row r="107" spans="1:6" x14ac:dyDescent="0.15">
      <c r="A107" s="27"/>
      <c r="B107" s="27"/>
      <c r="C107" s="54"/>
      <c r="D107" s="54"/>
      <c r="E107" s="54"/>
      <c r="F107" s="55"/>
    </row>
    <row r="108" spans="1:6" x14ac:dyDescent="0.15">
      <c r="A108" s="27"/>
      <c r="B108" s="27"/>
      <c r="C108" s="54"/>
      <c r="D108" s="54"/>
      <c r="E108" s="54"/>
      <c r="F108" s="55"/>
    </row>
    <row r="109" spans="1:6" x14ac:dyDescent="0.15">
      <c r="A109" s="27"/>
      <c r="B109" s="27"/>
      <c r="C109" s="54"/>
      <c r="D109" s="54"/>
      <c r="E109" s="54"/>
      <c r="F109" s="55"/>
    </row>
    <row r="111" spans="1:6" x14ac:dyDescent="0.15">
      <c r="A111" s="40"/>
      <c r="B111" s="40"/>
      <c r="C111" s="40"/>
      <c r="D111" s="40"/>
      <c r="E111" s="40"/>
      <c r="F111" s="40"/>
    </row>
    <row r="112" spans="1:6" x14ac:dyDescent="0.15">
      <c r="A112" s="56"/>
      <c r="B112" s="56"/>
      <c r="C112" s="56"/>
      <c r="D112" s="56"/>
      <c r="E112" s="56"/>
      <c r="F112" s="56"/>
    </row>
    <row r="113" spans="1:6" x14ac:dyDescent="0.15">
      <c r="A113" s="56"/>
      <c r="B113" s="56"/>
      <c r="C113" s="56"/>
      <c r="D113" s="56"/>
      <c r="E113" s="56"/>
      <c r="F113" s="56"/>
    </row>
    <row r="114" spans="1:6" x14ac:dyDescent="0.15">
      <c r="A114" s="27"/>
      <c r="B114" s="27"/>
      <c r="C114" s="55"/>
      <c r="D114" s="55"/>
      <c r="E114" s="55"/>
      <c r="F114" s="55"/>
    </row>
    <row r="115" spans="1:6" x14ac:dyDescent="0.15">
      <c r="A115" s="27"/>
      <c r="B115" s="27"/>
      <c r="C115" s="55"/>
      <c r="D115" s="55"/>
      <c r="E115" s="55"/>
      <c r="F115" s="55"/>
    </row>
    <row r="116" spans="1:6" x14ac:dyDescent="0.15">
      <c r="A116" s="27"/>
      <c r="B116" s="27"/>
      <c r="C116" s="55"/>
      <c r="D116" s="55"/>
      <c r="E116" s="55"/>
      <c r="F116" s="55"/>
    </row>
    <row r="117" spans="1:6" x14ac:dyDescent="0.15">
      <c r="A117" s="27"/>
      <c r="B117" s="27"/>
      <c r="C117" s="55"/>
      <c r="D117" s="55"/>
      <c r="E117" s="55"/>
      <c r="F117" s="55"/>
    </row>
    <row r="118" spans="1:6" x14ac:dyDescent="0.15">
      <c r="A118" s="27"/>
      <c r="B118" s="27"/>
      <c r="C118" s="55"/>
      <c r="D118" s="55"/>
      <c r="E118" s="55"/>
      <c r="F118" s="55"/>
    </row>
    <row r="119" spans="1:6" x14ac:dyDescent="0.15">
      <c r="A119" s="27"/>
      <c r="B119" s="27"/>
      <c r="C119" s="55"/>
      <c r="D119" s="55"/>
      <c r="E119" s="55"/>
      <c r="F119" s="55"/>
    </row>
    <row r="120" spans="1:6" x14ac:dyDescent="0.15">
      <c r="A120" s="27"/>
      <c r="B120" s="27"/>
      <c r="C120" s="55"/>
      <c r="D120" s="55"/>
      <c r="E120" s="55"/>
      <c r="F120" s="55"/>
    </row>
    <row r="121" spans="1:6" x14ac:dyDescent="0.15">
      <c r="A121" s="27"/>
      <c r="B121" s="27"/>
      <c r="C121" s="55"/>
      <c r="D121" s="55"/>
      <c r="E121" s="55"/>
      <c r="F121" s="55"/>
    </row>
    <row r="122" spans="1:6" x14ac:dyDescent="0.15">
      <c r="A122" s="27"/>
      <c r="B122" s="27"/>
      <c r="C122" s="55"/>
      <c r="D122" s="55"/>
      <c r="E122" s="55"/>
      <c r="F122" s="55"/>
    </row>
    <row r="123" spans="1:6" x14ac:dyDescent="0.15">
      <c r="A123" s="27"/>
      <c r="B123" s="27"/>
      <c r="C123" s="55"/>
      <c r="D123" s="55"/>
      <c r="E123" s="55"/>
      <c r="F123" s="55"/>
    </row>
    <row r="124" spans="1:6" x14ac:dyDescent="0.15">
      <c r="A124" s="27"/>
      <c r="B124" s="27"/>
      <c r="C124" s="55"/>
      <c r="D124" s="55"/>
      <c r="E124" s="55"/>
      <c r="F124" s="55"/>
    </row>
    <row r="125" spans="1:6" x14ac:dyDescent="0.15">
      <c r="A125" s="27"/>
      <c r="B125" s="27"/>
      <c r="C125" s="55"/>
      <c r="D125" s="55"/>
      <c r="E125" s="55"/>
      <c r="F125" s="55"/>
    </row>
    <row r="126" spans="1:6" x14ac:dyDescent="0.15">
      <c r="A126" s="27"/>
      <c r="B126" s="27"/>
      <c r="C126" s="55"/>
      <c r="D126" s="55"/>
      <c r="E126" s="55"/>
      <c r="F126" s="55"/>
    </row>
    <row r="127" spans="1:6" x14ac:dyDescent="0.15">
      <c r="A127" s="27"/>
      <c r="B127" s="27"/>
      <c r="C127" s="55"/>
      <c r="D127" s="55"/>
      <c r="E127" s="55"/>
      <c r="F127" s="55"/>
    </row>
    <row r="128" spans="1:6" x14ac:dyDescent="0.15">
      <c r="A128" s="27"/>
      <c r="B128" s="27"/>
      <c r="C128" s="55"/>
      <c r="D128" s="55"/>
      <c r="E128" s="55"/>
      <c r="F128" s="55"/>
    </row>
  </sheetData>
  <mergeCells count="23">
    <mergeCell ref="AC12:AD12"/>
    <mergeCell ref="A40:G40"/>
    <mergeCell ref="I6:N6"/>
    <mergeCell ref="O6:P6"/>
    <mergeCell ref="A8:B8"/>
    <mergeCell ref="A10:G10"/>
    <mergeCell ref="A25:G25"/>
    <mergeCell ref="I7:N7"/>
    <mergeCell ref="O7:P7"/>
    <mergeCell ref="I8:N8"/>
    <mergeCell ref="O8:P8"/>
    <mergeCell ref="A2:G2"/>
    <mergeCell ref="I2:P2"/>
    <mergeCell ref="D3:G3"/>
    <mergeCell ref="I4:N4"/>
    <mergeCell ref="O4:P4"/>
    <mergeCell ref="A55:G55"/>
    <mergeCell ref="A70:G70"/>
    <mergeCell ref="R5:T5"/>
    <mergeCell ref="A5:B7"/>
    <mergeCell ref="A4:B4"/>
    <mergeCell ref="I5:N5"/>
    <mergeCell ref="O5:P5"/>
  </mergeCells>
  <conditionalFormatting sqref="G12">
    <cfRule type="cellIs" dxfId="31" priority="101" stopIfTrue="1" operator="equal">
      <formula>$O$4</formula>
    </cfRule>
  </conditionalFormatting>
  <conditionalFormatting sqref="G13:G23">
    <cfRule type="cellIs" dxfId="30" priority="100" stopIfTrue="1" operator="equal">
      <formula>$O$4</formula>
    </cfRule>
  </conditionalFormatting>
  <conditionalFormatting sqref="C16">
    <cfRule type="expression" dxfId="29" priority="93" stopIfTrue="1">
      <formula>"G$13=$O$2"</formula>
    </cfRule>
  </conditionalFormatting>
  <conditionalFormatting sqref="G27">
    <cfRule type="cellIs" dxfId="28" priority="92" stopIfTrue="1" operator="equal">
      <formula>$O$5</formula>
    </cfRule>
  </conditionalFormatting>
  <conditionalFormatting sqref="G28:G38">
    <cfRule type="cellIs" dxfId="27" priority="91" stopIfTrue="1" operator="equal">
      <formula>$O$5</formula>
    </cfRule>
  </conditionalFormatting>
  <conditionalFormatting sqref="D12:F23">
    <cfRule type="expression" dxfId="26" priority="90" stopIfTrue="1">
      <formula>$G12=$O$4</formula>
    </cfRule>
  </conditionalFormatting>
  <conditionalFormatting sqref="D27:F38">
    <cfRule type="expression" dxfId="25" priority="72" stopIfTrue="1">
      <formula>$G27=$O$5</formula>
    </cfRule>
  </conditionalFormatting>
  <conditionalFormatting sqref="D42:F42 D43:E53">
    <cfRule type="expression" dxfId="24" priority="62" stopIfTrue="1">
      <formula>$G42=$O$6</formula>
    </cfRule>
  </conditionalFormatting>
  <conditionalFormatting sqref="G72">
    <cfRule type="cellIs" dxfId="23" priority="60" stopIfTrue="1" operator="equal">
      <formula>$O$8</formula>
    </cfRule>
  </conditionalFormatting>
  <conditionalFormatting sqref="D57:F57 D58:E68">
    <cfRule type="expression" dxfId="22" priority="58" stopIfTrue="1">
      <formula>$G57=$O$7</formula>
    </cfRule>
  </conditionalFormatting>
  <conditionalFormatting sqref="G57">
    <cfRule type="cellIs" dxfId="21" priority="50" stopIfTrue="1" operator="equal">
      <formula>$O$7</formula>
    </cfRule>
  </conditionalFormatting>
  <conditionalFormatting sqref="G42">
    <cfRule type="cellIs" dxfId="20" priority="42" stopIfTrue="1" operator="equal">
      <formula>$O$6</formula>
    </cfRule>
  </conditionalFormatting>
  <conditionalFormatting sqref="G43:G53">
    <cfRule type="cellIs" dxfId="19" priority="30" stopIfTrue="1" operator="equal">
      <formula>$O$6</formula>
    </cfRule>
  </conditionalFormatting>
  <conditionalFormatting sqref="G58:G68">
    <cfRule type="cellIs" dxfId="18" priority="25" stopIfTrue="1" operator="equal">
      <formula>$O$7</formula>
    </cfRule>
  </conditionalFormatting>
  <conditionalFormatting sqref="G73:G83">
    <cfRule type="cellIs" dxfId="17" priority="20" stopIfTrue="1" operator="equal">
      <formula>$O$8</formula>
    </cfRule>
  </conditionalFormatting>
  <conditionalFormatting sqref="D72:F72 D73:E83">
    <cfRule type="expression" dxfId="16" priority="121" stopIfTrue="1">
      <formula>$G72=$O$8</formula>
    </cfRule>
  </conditionalFormatting>
  <conditionalFormatting sqref="F73:F83">
    <cfRule type="expression" dxfId="15" priority="16" stopIfTrue="1">
      <formula>$G73=$O$8</formula>
    </cfRule>
  </conditionalFormatting>
  <conditionalFormatting sqref="F58:F68">
    <cfRule type="expression" dxfId="14" priority="15" stopIfTrue="1">
      <formula>$G58=$O$7</formula>
    </cfRule>
  </conditionalFormatting>
  <conditionalFormatting sqref="F43:F53">
    <cfRule type="expression" dxfId="13" priority="14" stopIfTrue="1">
      <formula>$G43=$O$6</formula>
    </cfRule>
  </conditionalFormatting>
  <conditionalFormatting sqref="A70:G70">
    <cfRule type="expression" dxfId="12" priority="13">
      <formula>$D$9=""</formula>
    </cfRule>
  </conditionalFormatting>
  <conditionalFormatting sqref="A55:G55">
    <cfRule type="expression" dxfId="11" priority="12">
      <formula>$D$8=""</formula>
    </cfRule>
  </conditionalFormatting>
  <conditionalFormatting sqref="A40:G40">
    <cfRule type="expression" dxfId="10" priority="11">
      <formula>$D$7=""</formula>
    </cfRule>
  </conditionalFormatting>
  <conditionalFormatting sqref="E6">
    <cfRule type="expression" dxfId="9" priority="10">
      <formula>$D$6=""</formula>
    </cfRule>
  </conditionalFormatting>
  <conditionalFormatting sqref="E7">
    <cfRule type="expression" dxfId="8" priority="9">
      <formula>$D$7=""</formula>
    </cfRule>
  </conditionalFormatting>
  <conditionalFormatting sqref="E8">
    <cfRule type="expression" dxfId="7" priority="8">
      <formula>$D$8=""</formula>
    </cfRule>
  </conditionalFormatting>
  <conditionalFormatting sqref="E9">
    <cfRule type="expression" dxfId="6" priority="7">
      <formula>$D$9=""</formula>
    </cfRule>
  </conditionalFormatting>
  <conditionalFormatting sqref="A25:G25">
    <cfRule type="expression" dxfId="5" priority="6">
      <formula>$D$6=""</formula>
    </cfRule>
  </conditionalFormatting>
  <conditionalFormatting sqref="A71:G83">
    <cfRule type="expression" dxfId="4" priority="5">
      <formula>$D$9=""</formula>
    </cfRule>
  </conditionalFormatting>
  <conditionalFormatting sqref="A56:G68">
    <cfRule type="expression" dxfId="3" priority="4">
      <formula>$D$8=""</formula>
    </cfRule>
  </conditionalFormatting>
  <conditionalFormatting sqref="A41:G53">
    <cfRule type="expression" dxfId="2" priority="3">
      <formula>$D$7=""</formula>
    </cfRule>
  </conditionalFormatting>
  <conditionalFormatting sqref="A26:G38">
    <cfRule type="expression" dxfId="1" priority="2">
      <formula>$D$6=""</formula>
    </cfRule>
  </conditionalFormatting>
  <conditionalFormatting sqref="C8">
    <cfRule type="expression" dxfId="0" priority="1" stopIfTrue="1">
      <formula>$C$5*$C$6*$C$7/1000&lt;10</formula>
    </cfRule>
  </conditionalFormatting>
  <dataValidations count="2">
    <dataValidation type="list" allowBlank="1" showInputMessage="1" showErrorMessage="1" promptTitle="Materiais" prompt="Escolha entre os materiais:" sqref="D6:D9" xr:uid="{8DC944A2-B014-4669-BEC7-222573B0A9C7}">
      <formula1>$AC$13:$AC$19</formula1>
    </dataValidation>
    <dataValidation type="list" allowBlank="1" showInputMessage="1" showErrorMessage="1" promptTitle="Materiais" prompt="Escolha entre os materiais:_x000a_Ao menos 1 Brita ou 1 Areia" sqref="D4:D5" xr:uid="{BD30EC34-6783-47B0-BC6D-023BFB02E5CF}">
      <formula1>$AC$14:$AC$19</formula1>
    </dataValidation>
  </dataValidations>
  <pageMargins left="0.511811024" right="0.511811024" top="0.78740157499999996" bottom="0.78740157499999996" header="0.31496062000000002" footer="0.31496062000000002"/>
  <pageSetup paperSize="9" scale="65" orientation="portrait" horizontalDpi="4294967293" verticalDpi="4294967293" r:id="rId1"/>
  <headerFooter>
    <oddFooter>&amp;C&amp;1#&amp;"Calibri"&amp;10&amp;KFF0000This content is Confidential.</oddFooter>
  </headerFooter>
  <colBreaks count="1" manualBreakCount="1">
    <brk id="7" min="1" max="52" man="1"/>
  </colBreaks>
  <ignoredErrors>
    <ignoredError sqref="F4:F8 I4:N8 D12:G23 D27:G38 D42:G53 D57:G68 D72:G83 B72:B83 B57:B68 B42:B53" emptyCellReference="1"/>
    <ignoredError sqref="C8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D586-DCD4-4717-97DC-4E07AD62FCA7}">
  <sheetPr codeName="Planilha5">
    <tabColor theme="8" tint="-0.499984740745262"/>
    <pageSetUpPr fitToPage="1"/>
  </sheetPr>
  <dimension ref="A1:W28"/>
  <sheetViews>
    <sheetView zoomScale="80" zoomScaleNormal="80" workbookViewId="0">
      <selection activeCell="AD7" sqref="AD7"/>
    </sheetView>
  </sheetViews>
  <sheetFormatPr baseColWidth="10" defaultColWidth="8.83203125" defaultRowHeight="13" x14ac:dyDescent="0.15"/>
  <cols>
    <col min="1" max="1" width="11.5" bestFit="1" customWidth="1"/>
    <col min="5" max="5" width="10.1640625" customWidth="1"/>
    <col min="6" max="6" width="5.6640625" customWidth="1"/>
    <col min="7" max="7" width="11.5" customWidth="1"/>
    <col min="11" max="11" width="10.83203125" customWidth="1"/>
    <col min="12" max="12" width="5.6640625" customWidth="1"/>
    <col min="13" max="13" width="11.5" customWidth="1"/>
    <col min="17" max="17" width="10.1640625" customWidth="1"/>
    <col min="18" max="18" width="5.6640625" customWidth="1"/>
    <col min="19" max="19" width="11.5" customWidth="1"/>
    <col min="23" max="23" width="10.1640625" customWidth="1"/>
  </cols>
  <sheetData>
    <row r="1" spans="1:23" ht="33.75" customHeight="1" thickBot="1" x14ac:dyDescent="0.2">
      <c r="M1" s="610" t="s">
        <v>39</v>
      </c>
      <c r="N1" s="610"/>
      <c r="O1" s="610"/>
      <c r="P1" s="610"/>
    </row>
    <row r="2" spans="1:23" ht="18" x14ac:dyDescent="0.2">
      <c r="A2" s="611" t="s">
        <v>40</v>
      </c>
      <c r="B2" s="612"/>
      <c r="C2" s="612"/>
      <c r="D2" s="613"/>
      <c r="E2" s="80" t="s">
        <v>41</v>
      </c>
      <c r="G2" s="614" t="s">
        <v>42</v>
      </c>
      <c r="H2" s="615"/>
      <c r="I2" s="615"/>
      <c r="J2" s="616"/>
      <c r="K2" s="80" t="s">
        <v>41</v>
      </c>
      <c r="M2" s="614" t="s">
        <v>43</v>
      </c>
      <c r="N2" s="615"/>
      <c r="O2" s="615"/>
      <c r="P2" s="616"/>
      <c r="Q2" s="80" t="s">
        <v>41</v>
      </c>
      <c r="S2" s="614" t="s">
        <v>44</v>
      </c>
      <c r="T2" s="615"/>
      <c r="U2" s="615"/>
      <c r="V2" s="616"/>
      <c r="W2" s="80" t="s">
        <v>41</v>
      </c>
    </row>
    <row r="3" spans="1:23" x14ac:dyDescent="0.15">
      <c r="A3" s="607" t="str">
        <f>CONCATENATE("Traço unitário (1:",E$3,")")</f>
        <v>Traço unitário (1:5)</v>
      </c>
      <c r="B3" s="608"/>
      <c r="C3" s="608"/>
      <c r="D3" s="609"/>
      <c r="E3" s="333">
        <v>5</v>
      </c>
      <c r="G3" s="607" t="str">
        <f>CONCATENATE("Traço unitário (1:",K$3,")")</f>
        <v>Traço unitário (1:3)</v>
      </c>
      <c r="H3" s="608"/>
      <c r="I3" s="608"/>
      <c r="J3" s="609"/>
      <c r="K3" s="333">
        <v>3</v>
      </c>
      <c r="M3" s="607" t="str">
        <f>CONCATENATE("Traço unitário (1:",Q$3,")")</f>
        <v>Traço unitário (1:6)</v>
      </c>
      <c r="N3" s="608"/>
      <c r="O3" s="608"/>
      <c r="P3" s="609"/>
      <c r="Q3" s="333">
        <v>6</v>
      </c>
      <c r="S3" s="607" t="str">
        <f>CONCATENATE("Traço unitário (1:",W$3,")")</f>
        <v>Traço unitário (1:7)</v>
      </c>
      <c r="T3" s="608"/>
      <c r="U3" s="608"/>
      <c r="V3" s="609"/>
      <c r="W3" s="333">
        <v>7</v>
      </c>
    </row>
    <row r="4" spans="1:23" ht="14" thickBot="1" x14ac:dyDescent="0.2">
      <c r="A4" s="81" t="s">
        <v>45</v>
      </c>
      <c r="B4" s="82" t="s">
        <v>46</v>
      </c>
      <c r="C4" s="82" t="s">
        <v>47</v>
      </c>
      <c r="D4" s="83" t="s">
        <v>48</v>
      </c>
      <c r="G4" s="81" t="s">
        <v>45</v>
      </c>
      <c r="H4" s="82" t="s">
        <v>46</v>
      </c>
      <c r="I4" s="82" t="s">
        <v>47</v>
      </c>
      <c r="J4" s="83" t="s">
        <v>48</v>
      </c>
      <c r="M4" s="81" t="s">
        <v>45</v>
      </c>
      <c r="N4" s="82" t="s">
        <v>46</v>
      </c>
      <c r="O4" s="82" t="s">
        <v>47</v>
      </c>
      <c r="P4" s="83" t="s">
        <v>48</v>
      </c>
      <c r="S4" s="81" t="s">
        <v>45</v>
      </c>
      <c r="T4" s="82" t="s">
        <v>46</v>
      </c>
      <c r="U4" s="82" t="s">
        <v>47</v>
      </c>
      <c r="V4" s="83" t="s">
        <v>48</v>
      </c>
    </row>
    <row r="5" spans="1:23" x14ac:dyDescent="0.15">
      <c r="A5" s="330">
        <v>50</v>
      </c>
      <c r="B5" s="84">
        <v>1</v>
      </c>
      <c r="C5" s="85">
        <f t="shared" ref="C5:C10" si="0">(($E$3+1)*(A5/100))-1</f>
        <v>2</v>
      </c>
      <c r="D5" s="86">
        <f t="shared" ref="D5:D10" si="1">($E$3-C5)</f>
        <v>3</v>
      </c>
      <c r="E5" s="87"/>
      <c r="F5" s="87"/>
      <c r="G5" s="330">
        <v>50</v>
      </c>
      <c r="H5" s="84">
        <v>1</v>
      </c>
      <c r="I5" s="85">
        <f t="shared" ref="I5:I10" si="2">(($K$3+1)*(G5/100))-1</f>
        <v>1</v>
      </c>
      <c r="J5" s="86">
        <f t="shared" ref="J5:J10" si="3">($K$3-I5)</f>
        <v>2</v>
      </c>
      <c r="K5" s="87"/>
      <c r="L5" s="87"/>
      <c r="M5" s="330">
        <v>50</v>
      </c>
      <c r="N5" s="84">
        <v>1</v>
      </c>
      <c r="O5" s="85">
        <f t="shared" ref="O5:O10" si="4">(($Q$3+1)*(M5/100))-1</f>
        <v>2.5</v>
      </c>
      <c r="P5" s="86">
        <f t="shared" ref="P5:P10" si="5">($Q$3-O5)</f>
        <v>3.5</v>
      </c>
      <c r="Q5" s="87"/>
      <c r="R5" s="87"/>
      <c r="S5" s="330">
        <v>50</v>
      </c>
      <c r="T5" s="84">
        <v>1</v>
      </c>
      <c r="U5" s="85">
        <f>(($W$3+1)*(S5/100))-1</f>
        <v>3</v>
      </c>
      <c r="V5" s="86">
        <f>($W$3-U5)</f>
        <v>4</v>
      </c>
      <c r="W5" s="87"/>
    </row>
    <row r="6" spans="1:23" x14ac:dyDescent="0.15">
      <c r="A6" s="331">
        <v>52</v>
      </c>
      <c r="B6" s="88">
        <v>1</v>
      </c>
      <c r="C6" s="89">
        <f t="shared" si="0"/>
        <v>2.12</v>
      </c>
      <c r="D6" s="90">
        <f t="shared" si="1"/>
        <v>2.88</v>
      </c>
      <c r="E6" s="87"/>
      <c r="F6" s="87"/>
      <c r="G6" s="331">
        <v>52</v>
      </c>
      <c r="H6" s="88">
        <v>1</v>
      </c>
      <c r="I6" s="89">
        <f t="shared" si="2"/>
        <v>1.08</v>
      </c>
      <c r="J6" s="90">
        <f t="shared" si="3"/>
        <v>1.92</v>
      </c>
      <c r="K6" s="87"/>
      <c r="L6" s="87"/>
      <c r="M6" s="331">
        <v>52</v>
      </c>
      <c r="N6" s="88">
        <v>1</v>
      </c>
      <c r="O6" s="89">
        <f t="shared" si="4"/>
        <v>2.64</v>
      </c>
      <c r="P6" s="90">
        <f t="shared" si="5"/>
        <v>3.36</v>
      </c>
      <c r="Q6" s="87"/>
      <c r="R6" s="87"/>
      <c r="S6" s="331">
        <v>52</v>
      </c>
      <c r="T6" s="88">
        <v>1</v>
      </c>
      <c r="U6" s="89">
        <f t="shared" ref="U6:U10" si="6">(($W$3+1)*(S6/100))-1</f>
        <v>3.16</v>
      </c>
      <c r="V6" s="90">
        <f t="shared" ref="V6:V10" si="7">($W$3-U6)</f>
        <v>3.84</v>
      </c>
      <c r="W6" s="87"/>
    </row>
    <row r="7" spans="1:23" x14ac:dyDescent="0.15">
      <c r="A7" s="331">
        <v>54</v>
      </c>
      <c r="B7" s="88">
        <v>1</v>
      </c>
      <c r="C7" s="89">
        <f t="shared" si="0"/>
        <v>2.2400000000000002</v>
      </c>
      <c r="D7" s="90">
        <f t="shared" si="1"/>
        <v>2.76</v>
      </c>
      <c r="E7" s="87"/>
      <c r="F7" s="87"/>
      <c r="G7" s="331">
        <v>54</v>
      </c>
      <c r="H7" s="88">
        <v>1</v>
      </c>
      <c r="I7" s="89">
        <f t="shared" si="2"/>
        <v>1.1600000000000001</v>
      </c>
      <c r="J7" s="90">
        <f t="shared" si="3"/>
        <v>1.8399999999999999</v>
      </c>
      <c r="K7" s="87"/>
      <c r="L7" s="87"/>
      <c r="M7" s="331">
        <v>54</v>
      </c>
      <c r="N7" s="88">
        <v>1</v>
      </c>
      <c r="O7" s="89">
        <f t="shared" si="4"/>
        <v>2.7800000000000002</v>
      </c>
      <c r="P7" s="90">
        <f t="shared" si="5"/>
        <v>3.2199999999999998</v>
      </c>
      <c r="Q7" s="87"/>
      <c r="R7" s="87"/>
      <c r="S7" s="331">
        <v>54</v>
      </c>
      <c r="T7" s="88">
        <v>1</v>
      </c>
      <c r="U7" s="89">
        <f t="shared" si="6"/>
        <v>3.3200000000000003</v>
      </c>
      <c r="V7" s="90">
        <f t="shared" si="7"/>
        <v>3.6799999999999997</v>
      </c>
      <c r="W7" s="87"/>
    </row>
    <row r="8" spans="1:23" x14ac:dyDescent="0.15">
      <c r="A8" s="331">
        <v>56</v>
      </c>
      <c r="B8" s="88">
        <v>1</v>
      </c>
      <c r="C8" s="89">
        <f t="shared" si="0"/>
        <v>2.3600000000000003</v>
      </c>
      <c r="D8" s="90">
        <f t="shared" si="1"/>
        <v>2.6399999999999997</v>
      </c>
      <c r="E8" s="87"/>
      <c r="F8" s="87"/>
      <c r="G8" s="331">
        <v>56</v>
      </c>
      <c r="H8" s="88">
        <v>1</v>
      </c>
      <c r="I8" s="89">
        <f t="shared" si="2"/>
        <v>1.2400000000000002</v>
      </c>
      <c r="J8" s="90">
        <f t="shared" si="3"/>
        <v>1.7599999999999998</v>
      </c>
      <c r="K8" s="87"/>
      <c r="L8" s="87"/>
      <c r="M8" s="331">
        <v>56</v>
      </c>
      <c r="N8" s="88">
        <v>1</v>
      </c>
      <c r="O8" s="89">
        <f t="shared" si="4"/>
        <v>2.9200000000000004</v>
      </c>
      <c r="P8" s="90">
        <f t="shared" si="5"/>
        <v>3.0799999999999996</v>
      </c>
      <c r="Q8" s="87"/>
      <c r="R8" s="87"/>
      <c r="S8" s="331">
        <v>56</v>
      </c>
      <c r="T8" s="88">
        <v>1</v>
      </c>
      <c r="U8" s="89">
        <f t="shared" si="6"/>
        <v>3.4800000000000004</v>
      </c>
      <c r="V8" s="90">
        <f t="shared" si="7"/>
        <v>3.5199999999999996</v>
      </c>
      <c r="W8" s="87"/>
    </row>
    <row r="9" spans="1:23" x14ac:dyDescent="0.15">
      <c r="A9" s="331">
        <v>58</v>
      </c>
      <c r="B9" s="88">
        <v>1</v>
      </c>
      <c r="C9" s="89">
        <f t="shared" si="0"/>
        <v>2.4799999999999995</v>
      </c>
      <c r="D9" s="90">
        <f t="shared" si="1"/>
        <v>2.5200000000000005</v>
      </c>
      <c r="E9" s="617" t="s">
        <v>49</v>
      </c>
      <c r="F9" s="87"/>
      <c r="G9" s="331">
        <v>58</v>
      </c>
      <c r="H9" s="88">
        <v>1</v>
      </c>
      <c r="I9" s="89">
        <f t="shared" si="2"/>
        <v>1.3199999999999998</v>
      </c>
      <c r="J9" s="90">
        <f t="shared" si="3"/>
        <v>1.6800000000000002</v>
      </c>
      <c r="K9" s="617" t="s">
        <v>49</v>
      </c>
      <c r="L9" s="87"/>
      <c r="M9" s="331">
        <v>58</v>
      </c>
      <c r="N9" s="88">
        <v>1</v>
      </c>
      <c r="O9" s="89">
        <f t="shared" si="4"/>
        <v>3.0599999999999996</v>
      </c>
      <c r="P9" s="90">
        <f t="shared" si="5"/>
        <v>2.9400000000000004</v>
      </c>
      <c r="Q9" s="617" t="s">
        <v>49</v>
      </c>
      <c r="R9" s="87"/>
      <c r="S9" s="331">
        <v>58</v>
      </c>
      <c r="T9" s="88">
        <v>1</v>
      </c>
      <c r="U9" s="89">
        <f t="shared" si="6"/>
        <v>3.6399999999999997</v>
      </c>
      <c r="V9" s="90">
        <f t="shared" si="7"/>
        <v>3.3600000000000003</v>
      </c>
      <c r="W9" s="617" t="s">
        <v>49</v>
      </c>
    </row>
    <row r="10" spans="1:23" ht="14" thickBot="1" x14ac:dyDescent="0.2">
      <c r="A10" s="332">
        <v>60</v>
      </c>
      <c r="B10" s="91">
        <v>1</v>
      </c>
      <c r="C10" s="92">
        <f t="shared" si="0"/>
        <v>2.5999999999999996</v>
      </c>
      <c r="D10" s="93">
        <f t="shared" si="1"/>
        <v>2.4000000000000004</v>
      </c>
      <c r="E10" s="617"/>
      <c r="F10" s="87"/>
      <c r="G10" s="332">
        <v>60</v>
      </c>
      <c r="H10" s="91">
        <v>1</v>
      </c>
      <c r="I10" s="92">
        <f t="shared" si="2"/>
        <v>1.4</v>
      </c>
      <c r="J10" s="93">
        <f t="shared" si="3"/>
        <v>1.6</v>
      </c>
      <c r="K10" s="617"/>
      <c r="L10" s="87"/>
      <c r="M10" s="332">
        <v>60</v>
      </c>
      <c r="N10" s="91">
        <v>1</v>
      </c>
      <c r="O10" s="92">
        <f t="shared" si="4"/>
        <v>3.2</v>
      </c>
      <c r="P10" s="93">
        <f t="shared" si="5"/>
        <v>2.8</v>
      </c>
      <c r="Q10" s="617"/>
      <c r="R10" s="87"/>
      <c r="S10" s="332">
        <v>60</v>
      </c>
      <c r="T10" s="91">
        <v>1</v>
      </c>
      <c r="U10" s="92">
        <f t="shared" si="6"/>
        <v>3.8</v>
      </c>
      <c r="V10" s="93">
        <f t="shared" si="7"/>
        <v>3.2</v>
      </c>
      <c r="W10" s="617"/>
    </row>
    <row r="11" spans="1:23" ht="14" thickBot="1" x14ac:dyDescent="0.2">
      <c r="A11" s="87"/>
      <c r="B11" s="87"/>
      <c r="C11" s="87"/>
      <c r="D11" s="87"/>
      <c r="E11" s="617"/>
      <c r="F11" s="87"/>
      <c r="G11" s="87"/>
      <c r="H11" s="87"/>
      <c r="I11" s="87"/>
      <c r="J11" s="87"/>
      <c r="K11" s="617"/>
      <c r="L11" s="87"/>
      <c r="M11" s="87"/>
      <c r="N11" s="87"/>
      <c r="O11" s="87"/>
      <c r="P11" s="87"/>
      <c r="Q11" s="617"/>
      <c r="R11" s="87"/>
      <c r="S11" s="87"/>
      <c r="T11" s="87"/>
      <c r="U11" s="87"/>
      <c r="V11" s="87"/>
      <c r="W11" s="617"/>
    </row>
    <row r="12" spans="1:23" x14ac:dyDescent="0.15">
      <c r="A12" s="618" t="str">
        <f>CONCATENATE("Traço massa acumulada (1:",E$3,")")</f>
        <v>Traço massa acumulada (1:5)</v>
      </c>
      <c r="B12" s="619"/>
      <c r="C12" s="619"/>
      <c r="D12" s="620"/>
      <c r="E12" s="333">
        <v>100</v>
      </c>
      <c r="F12" s="87"/>
      <c r="G12" s="618" t="str">
        <f>CONCATENATE("Traço massa acumulada (1:",K$3,")")</f>
        <v>Traço massa acumulada (1:3)</v>
      </c>
      <c r="H12" s="619"/>
      <c r="I12" s="619"/>
      <c r="J12" s="620"/>
      <c r="K12" s="333">
        <v>100</v>
      </c>
      <c r="L12" s="87"/>
      <c r="M12" s="618" t="str">
        <f>CONCATENATE("Traço massa acumulada (1:",Q$3,")")</f>
        <v>Traço massa acumulada (1:6)</v>
      </c>
      <c r="N12" s="619"/>
      <c r="O12" s="619"/>
      <c r="P12" s="620"/>
      <c r="Q12" s="333">
        <v>100</v>
      </c>
      <c r="R12" s="87"/>
      <c r="S12" s="618" t="str">
        <f>CONCATENATE("Traço massa acumulada (1:",W$3,")")</f>
        <v>Traço massa acumulada (1:7)</v>
      </c>
      <c r="T12" s="619"/>
      <c r="U12" s="619"/>
      <c r="V12" s="620"/>
      <c r="W12" s="333">
        <v>100</v>
      </c>
    </row>
    <row r="13" spans="1:23" ht="14" thickBot="1" x14ac:dyDescent="0.2">
      <c r="A13" s="81" t="s">
        <v>45</v>
      </c>
      <c r="B13" s="94" t="s">
        <v>46</v>
      </c>
      <c r="C13" s="94" t="s">
        <v>47</v>
      </c>
      <c r="D13" s="95" t="s">
        <v>48</v>
      </c>
      <c r="E13" s="96" t="s">
        <v>50</v>
      </c>
      <c r="F13" s="87"/>
      <c r="G13" s="81" t="s">
        <v>45</v>
      </c>
      <c r="H13" s="94" t="s">
        <v>46</v>
      </c>
      <c r="I13" s="94" t="s">
        <v>47</v>
      </c>
      <c r="J13" s="95" t="s">
        <v>48</v>
      </c>
      <c r="K13" s="96" t="s">
        <v>50</v>
      </c>
      <c r="L13" s="87"/>
      <c r="M13" s="81" t="s">
        <v>45</v>
      </c>
      <c r="N13" s="94" t="s">
        <v>46</v>
      </c>
      <c r="O13" s="94" t="s">
        <v>47</v>
      </c>
      <c r="P13" s="95" t="s">
        <v>48</v>
      </c>
      <c r="Q13" s="96" t="s">
        <v>50</v>
      </c>
      <c r="R13" s="87"/>
      <c r="S13" s="81" t="s">
        <v>45</v>
      </c>
      <c r="T13" s="94" t="s">
        <v>46</v>
      </c>
      <c r="U13" s="94" t="s">
        <v>47</v>
      </c>
      <c r="V13" s="95" t="s">
        <v>48</v>
      </c>
      <c r="W13" s="96" t="s">
        <v>50</v>
      </c>
    </row>
    <row r="14" spans="1:23" x14ac:dyDescent="0.15">
      <c r="A14" s="97">
        <f t="shared" ref="A14:A19" si="8">A5</f>
        <v>50</v>
      </c>
      <c r="B14" s="85">
        <f>E12/(E3+1)</f>
        <v>16.666666666666668</v>
      </c>
      <c r="C14" s="85">
        <f t="shared" ref="C14:C19" si="9">B14*C5</f>
        <v>33.333333333333336</v>
      </c>
      <c r="D14" s="86">
        <f>B14*D5</f>
        <v>50</v>
      </c>
      <c r="E14" s="98">
        <f t="shared" ref="E14:E19" si="10">SUM(B14:D14)</f>
        <v>100</v>
      </c>
      <c r="F14" s="87"/>
      <c r="G14" s="97">
        <f t="shared" ref="G14:G19" si="11">G5</f>
        <v>50</v>
      </c>
      <c r="H14" s="85">
        <f>K12/(K3+1)</f>
        <v>25</v>
      </c>
      <c r="I14" s="85">
        <f t="shared" ref="I14:I19" si="12">H14*I5</f>
        <v>25</v>
      </c>
      <c r="J14" s="86">
        <f>H14*J5</f>
        <v>50</v>
      </c>
      <c r="K14" s="98">
        <f t="shared" ref="K14:K19" si="13">SUM(H14:J14)</f>
        <v>100</v>
      </c>
      <c r="L14" s="87"/>
      <c r="M14" s="97">
        <f t="shared" ref="M14:M19" si="14">M5</f>
        <v>50</v>
      </c>
      <c r="N14" s="85">
        <f>Q12/(Q3+1)</f>
        <v>14.285714285714286</v>
      </c>
      <c r="O14" s="85">
        <f t="shared" ref="O14:O19" si="15">N14*O5</f>
        <v>35.714285714285715</v>
      </c>
      <c r="P14" s="86">
        <f>N14*P5</f>
        <v>50</v>
      </c>
      <c r="Q14" s="98">
        <f t="shared" ref="Q14:Q19" si="16">SUM(N14:P14)</f>
        <v>100</v>
      </c>
      <c r="R14" s="87"/>
      <c r="S14" s="97">
        <f t="shared" ref="S14:S19" si="17">S5</f>
        <v>50</v>
      </c>
      <c r="T14" s="85">
        <f>W12/(W3+1)</f>
        <v>12.5</v>
      </c>
      <c r="U14" s="85">
        <f t="shared" ref="U14:U19" si="18">T14*U5</f>
        <v>37.5</v>
      </c>
      <c r="V14" s="86">
        <f>T14*V5</f>
        <v>50</v>
      </c>
      <c r="W14" s="98">
        <f t="shared" ref="W14:W19" si="19">SUM(T14:V14)</f>
        <v>100</v>
      </c>
    </row>
    <row r="15" spans="1:23" x14ac:dyDescent="0.15">
      <c r="A15" s="99">
        <f t="shared" si="8"/>
        <v>52</v>
      </c>
      <c r="B15" s="89">
        <f>D15/D6</f>
        <v>17.361111111111111</v>
      </c>
      <c r="C15" s="89">
        <f t="shared" si="9"/>
        <v>36.805555555555557</v>
      </c>
      <c r="D15" s="90">
        <f>D14</f>
        <v>50</v>
      </c>
      <c r="E15" s="98">
        <f t="shared" si="10"/>
        <v>104.16666666666667</v>
      </c>
      <c r="F15" s="87"/>
      <c r="G15" s="99">
        <f t="shared" si="11"/>
        <v>52</v>
      </c>
      <c r="H15" s="89">
        <f>J15/J6</f>
        <v>26.041666666666668</v>
      </c>
      <c r="I15" s="89">
        <f t="shared" si="12"/>
        <v>28.125000000000004</v>
      </c>
      <c r="J15" s="90">
        <f>J14</f>
        <v>50</v>
      </c>
      <c r="K15" s="98">
        <f t="shared" si="13"/>
        <v>104.16666666666667</v>
      </c>
      <c r="L15" s="87"/>
      <c r="M15" s="99">
        <f t="shared" si="14"/>
        <v>52</v>
      </c>
      <c r="N15" s="89">
        <f>P15/P6</f>
        <v>14.880952380952381</v>
      </c>
      <c r="O15" s="89">
        <f t="shared" si="15"/>
        <v>39.285714285714292</v>
      </c>
      <c r="P15" s="90">
        <f>P14</f>
        <v>50</v>
      </c>
      <c r="Q15" s="98">
        <f t="shared" si="16"/>
        <v>104.16666666666667</v>
      </c>
      <c r="R15" s="87"/>
      <c r="S15" s="99">
        <f t="shared" si="17"/>
        <v>52</v>
      </c>
      <c r="T15" s="89">
        <f>V15/V6</f>
        <v>13.020833333333334</v>
      </c>
      <c r="U15" s="89">
        <f t="shared" si="18"/>
        <v>41.145833333333336</v>
      </c>
      <c r="V15" s="90">
        <f>V14</f>
        <v>50</v>
      </c>
      <c r="W15" s="98">
        <f t="shared" si="19"/>
        <v>104.16666666666667</v>
      </c>
    </row>
    <row r="16" spans="1:23" x14ac:dyDescent="0.15">
      <c r="A16" s="99">
        <f t="shared" si="8"/>
        <v>54</v>
      </c>
      <c r="B16" s="89">
        <f>D16/D7</f>
        <v>18.115942028985508</v>
      </c>
      <c r="C16" s="89">
        <f t="shared" si="9"/>
        <v>40.579710144927539</v>
      </c>
      <c r="D16" s="90">
        <f>D15</f>
        <v>50</v>
      </c>
      <c r="E16" s="98">
        <f t="shared" si="10"/>
        <v>108.69565217391305</v>
      </c>
      <c r="F16" s="87"/>
      <c r="G16" s="99">
        <f t="shared" si="11"/>
        <v>54</v>
      </c>
      <c r="H16" s="89">
        <f>J16/J7</f>
        <v>27.173913043478262</v>
      </c>
      <c r="I16" s="89">
        <f t="shared" si="12"/>
        <v>31.521739130434788</v>
      </c>
      <c r="J16" s="90">
        <f>J15</f>
        <v>50</v>
      </c>
      <c r="K16" s="98">
        <f t="shared" si="13"/>
        <v>108.69565217391305</v>
      </c>
      <c r="L16" s="87"/>
      <c r="M16" s="99">
        <f t="shared" si="14"/>
        <v>54</v>
      </c>
      <c r="N16" s="89">
        <f>P16/P7</f>
        <v>15.527950310559007</v>
      </c>
      <c r="O16" s="89">
        <f t="shared" si="15"/>
        <v>43.16770186335404</v>
      </c>
      <c r="P16" s="90">
        <f>P15</f>
        <v>50</v>
      </c>
      <c r="Q16" s="98">
        <f t="shared" si="16"/>
        <v>108.69565217391305</v>
      </c>
      <c r="R16" s="87"/>
      <c r="S16" s="99">
        <f t="shared" si="17"/>
        <v>54</v>
      </c>
      <c r="T16" s="89">
        <f>V16/V7</f>
        <v>13.586956521739131</v>
      </c>
      <c r="U16" s="89">
        <f t="shared" si="18"/>
        <v>45.108695652173921</v>
      </c>
      <c r="V16" s="90">
        <f>V15</f>
        <v>50</v>
      </c>
      <c r="W16" s="98">
        <f t="shared" si="19"/>
        <v>108.69565217391306</v>
      </c>
    </row>
    <row r="17" spans="1:23" x14ac:dyDescent="0.15">
      <c r="A17" s="99">
        <f t="shared" si="8"/>
        <v>56</v>
      </c>
      <c r="B17" s="89">
        <f>D17/D8</f>
        <v>18.939393939393941</v>
      </c>
      <c r="C17" s="89">
        <f t="shared" si="9"/>
        <v>44.69696969696971</v>
      </c>
      <c r="D17" s="90">
        <f>D16</f>
        <v>50</v>
      </c>
      <c r="E17" s="98">
        <f t="shared" si="10"/>
        <v>113.63636363636365</v>
      </c>
      <c r="F17" s="87"/>
      <c r="G17" s="99">
        <f t="shared" si="11"/>
        <v>56</v>
      </c>
      <c r="H17" s="89">
        <f>J17/J8</f>
        <v>28.409090909090914</v>
      </c>
      <c r="I17" s="89">
        <f t="shared" si="12"/>
        <v>35.227272727272741</v>
      </c>
      <c r="J17" s="90">
        <f>J16</f>
        <v>50</v>
      </c>
      <c r="K17" s="98">
        <f t="shared" si="13"/>
        <v>113.63636363636365</v>
      </c>
      <c r="L17" s="87"/>
      <c r="M17" s="99">
        <f t="shared" si="14"/>
        <v>56</v>
      </c>
      <c r="N17" s="89">
        <f>P17/P8</f>
        <v>16.233766233766236</v>
      </c>
      <c r="O17" s="89">
        <f t="shared" si="15"/>
        <v>47.402597402597415</v>
      </c>
      <c r="P17" s="90">
        <f>P16</f>
        <v>50</v>
      </c>
      <c r="Q17" s="98">
        <f t="shared" si="16"/>
        <v>113.63636363636365</v>
      </c>
      <c r="R17" s="87"/>
      <c r="S17" s="99">
        <f t="shared" si="17"/>
        <v>56</v>
      </c>
      <c r="T17" s="89">
        <f>V17/V8</f>
        <v>14.204545454545457</v>
      </c>
      <c r="U17" s="89">
        <f t="shared" si="18"/>
        <v>49.431818181818194</v>
      </c>
      <c r="V17" s="90">
        <f>V16</f>
        <v>50</v>
      </c>
      <c r="W17" s="98">
        <f t="shared" si="19"/>
        <v>113.63636363636365</v>
      </c>
    </row>
    <row r="18" spans="1:23" x14ac:dyDescent="0.15">
      <c r="A18" s="99">
        <f t="shared" si="8"/>
        <v>58</v>
      </c>
      <c r="B18" s="89">
        <f>D18/D9</f>
        <v>19.841269841269838</v>
      </c>
      <c r="C18" s="89">
        <f t="shared" si="9"/>
        <v>49.206349206349188</v>
      </c>
      <c r="D18" s="90">
        <f>D17</f>
        <v>50</v>
      </c>
      <c r="E18" s="98">
        <f t="shared" si="10"/>
        <v>119.04761904761902</v>
      </c>
      <c r="F18" s="87"/>
      <c r="G18" s="99">
        <f t="shared" si="11"/>
        <v>58</v>
      </c>
      <c r="H18" s="89">
        <f>J18/J9</f>
        <v>29.761904761904759</v>
      </c>
      <c r="I18" s="89">
        <f t="shared" si="12"/>
        <v>39.285714285714278</v>
      </c>
      <c r="J18" s="90">
        <f>J17</f>
        <v>50</v>
      </c>
      <c r="K18" s="98">
        <f t="shared" si="13"/>
        <v>119.04761904761904</v>
      </c>
      <c r="L18" s="87"/>
      <c r="M18" s="99">
        <f t="shared" si="14"/>
        <v>58</v>
      </c>
      <c r="N18" s="89">
        <f>P18/P9</f>
        <v>17.006802721088434</v>
      </c>
      <c r="O18" s="89">
        <f t="shared" si="15"/>
        <v>52.040816326530603</v>
      </c>
      <c r="P18" s="90">
        <f>P17</f>
        <v>50</v>
      </c>
      <c r="Q18" s="98">
        <f t="shared" si="16"/>
        <v>119.04761904761904</v>
      </c>
      <c r="R18" s="87"/>
      <c r="S18" s="99">
        <f t="shared" si="17"/>
        <v>58</v>
      </c>
      <c r="T18" s="89">
        <f>V18/V9</f>
        <v>14.88095238095238</v>
      </c>
      <c r="U18" s="89">
        <f t="shared" si="18"/>
        <v>54.166666666666657</v>
      </c>
      <c r="V18" s="90">
        <f>V17</f>
        <v>50</v>
      </c>
      <c r="W18" s="98">
        <f t="shared" si="19"/>
        <v>119.04761904761904</v>
      </c>
    </row>
    <row r="19" spans="1:23" ht="14" thickBot="1" x14ac:dyDescent="0.2">
      <c r="A19" s="100">
        <f t="shared" si="8"/>
        <v>60</v>
      </c>
      <c r="B19" s="92">
        <f>D19/D10</f>
        <v>20.833333333333329</v>
      </c>
      <c r="C19" s="92">
        <f t="shared" si="9"/>
        <v>54.16666666666665</v>
      </c>
      <c r="D19" s="93">
        <f>D18</f>
        <v>50</v>
      </c>
      <c r="E19" s="98">
        <f t="shared" si="10"/>
        <v>124.99999999999997</v>
      </c>
      <c r="F19" s="87"/>
      <c r="G19" s="100">
        <f t="shared" si="11"/>
        <v>60</v>
      </c>
      <c r="H19" s="92">
        <f>J19/J10</f>
        <v>31.25</v>
      </c>
      <c r="I19" s="92">
        <f t="shared" si="12"/>
        <v>43.75</v>
      </c>
      <c r="J19" s="93">
        <f>J18</f>
        <v>50</v>
      </c>
      <c r="K19" s="98">
        <f t="shared" si="13"/>
        <v>125</v>
      </c>
      <c r="L19" s="87"/>
      <c r="M19" s="100">
        <f t="shared" si="14"/>
        <v>60</v>
      </c>
      <c r="N19" s="92">
        <f>P19/P10</f>
        <v>17.857142857142858</v>
      </c>
      <c r="O19" s="92">
        <f t="shared" si="15"/>
        <v>57.142857142857146</v>
      </c>
      <c r="P19" s="93">
        <f>P18</f>
        <v>50</v>
      </c>
      <c r="Q19" s="98">
        <f t="shared" si="16"/>
        <v>125</v>
      </c>
      <c r="R19" s="87"/>
      <c r="S19" s="100">
        <f t="shared" si="17"/>
        <v>60</v>
      </c>
      <c r="T19" s="92">
        <f>V19/V10</f>
        <v>15.625</v>
      </c>
      <c r="U19" s="92">
        <f t="shared" si="18"/>
        <v>59.375</v>
      </c>
      <c r="V19" s="93">
        <f>V18</f>
        <v>50</v>
      </c>
      <c r="W19" s="98">
        <f t="shared" si="19"/>
        <v>125</v>
      </c>
    </row>
    <row r="20" spans="1:23" ht="14" thickBot="1" x14ac:dyDescent="0.2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</row>
    <row r="21" spans="1:23" x14ac:dyDescent="0.15">
      <c r="A21" s="618" t="str">
        <f>CONCATENATE("Traço massa descontada (1:",E$3,")")</f>
        <v>Traço massa descontada (1:5)</v>
      </c>
      <c r="B21" s="619"/>
      <c r="C21" s="619"/>
      <c r="D21" s="620"/>
      <c r="E21" s="87"/>
      <c r="F21" s="87"/>
      <c r="G21" s="618" t="str">
        <f>CONCATENATE("Traço massa descontada (1:",K$3,")")</f>
        <v>Traço massa descontada (1:3)</v>
      </c>
      <c r="H21" s="619"/>
      <c r="I21" s="619"/>
      <c r="J21" s="620"/>
      <c r="K21" s="87"/>
      <c r="L21" s="87"/>
      <c r="M21" s="618" t="str">
        <f>CONCATENATE("Traço massa descontada (1:",Q$3,")")</f>
        <v>Traço massa descontada (1:6)</v>
      </c>
      <c r="N21" s="619"/>
      <c r="O21" s="619"/>
      <c r="P21" s="620"/>
      <c r="Q21" s="87"/>
      <c r="R21" s="87"/>
      <c r="S21" s="618" t="str">
        <f>CONCATENATE("Traço massa descontada (1:",W$3,")")</f>
        <v>Traço massa descontada (1:7)</v>
      </c>
      <c r="T21" s="619"/>
      <c r="U21" s="619"/>
      <c r="V21" s="620"/>
      <c r="W21" s="87"/>
    </row>
    <row r="22" spans="1:23" ht="14" thickBot="1" x14ac:dyDescent="0.2">
      <c r="A22" s="81" t="s">
        <v>45</v>
      </c>
      <c r="B22" s="94" t="s">
        <v>46</v>
      </c>
      <c r="C22" s="94" t="s">
        <v>47</v>
      </c>
      <c r="D22" s="95" t="s">
        <v>48</v>
      </c>
      <c r="E22" s="87"/>
      <c r="F22" s="87"/>
      <c r="G22" s="81" t="s">
        <v>45</v>
      </c>
      <c r="H22" s="94" t="s">
        <v>46</v>
      </c>
      <c r="I22" s="94" t="s">
        <v>47</v>
      </c>
      <c r="J22" s="95" t="s">
        <v>48</v>
      </c>
      <c r="K22" s="87"/>
      <c r="L22" s="87"/>
      <c r="M22" s="81" t="s">
        <v>45</v>
      </c>
      <c r="N22" s="94" t="s">
        <v>46</v>
      </c>
      <c r="O22" s="94" t="s">
        <v>47</v>
      </c>
      <c r="P22" s="95" t="s">
        <v>48</v>
      </c>
      <c r="Q22" s="87"/>
      <c r="R22" s="87"/>
      <c r="S22" s="81" t="s">
        <v>45</v>
      </c>
      <c r="T22" s="94" t="s">
        <v>46</v>
      </c>
      <c r="U22" s="94" t="s">
        <v>47</v>
      </c>
      <c r="V22" s="95" t="s">
        <v>48</v>
      </c>
      <c r="W22" s="87"/>
    </row>
    <row r="23" spans="1:23" x14ac:dyDescent="0.15">
      <c r="A23" s="101">
        <f t="shared" ref="A23:A28" si="20">A5</f>
        <v>50</v>
      </c>
      <c r="B23" s="102">
        <f>B14</f>
        <v>16.666666666666668</v>
      </c>
      <c r="C23" s="102">
        <f>C14</f>
        <v>33.333333333333336</v>
      </c>
      <c r="D23" s="103">
        <f>D14</f>
        <v>50</v>
      </c>
      <c r="E23" s="87"/>
      <c r="F23" s="87"/>
      <c r="G23" s="104">
        <f t="shared" ref="G23:G28" si="21">G5</f>
        <v>50</v>
      </c>
      <c r="H23" s="102">
        <f>H14</f>
        <v>25</v>
      </c>
      <c r="I23" s="102">
        <f>I14</f>
        <v>25</v>
      </c>
      <c r="J23" s="103">
        <f>J14</f>
        <v>50</v>
      </c>
      <c r="K23" s="87"/>
      <c r="L23" s="87"/>
      <c r="M23" s="101">
        <f t="shared" ref="M23:M28" si="22">M5</f>
        <v>50</v>
      </c>
      <c r="N23" s="102">
        <f>N14</f>
        <v>14.285714285714286</v>
      </c>
      <c r="O23" s="102">
        <f>O14</f>
        <v>35.714285714285715</v>
      </c>
      <c r="P23" s="103">
        <f>P14</f>
        <v>50</v>
      </c>
      <c r="Q23" s="87"/>
      <c r="R23" s="87"/>
      <c r="S23" s="101">
        <f t="shared" ref="S23:S28" si="23">S5</f>
        <v>50</v>
      </c>
      <c r="T23" s="102">
        <f>T14</f>
        <v>12.5</v>
      </c>
      <c r="U23" s="102">
        <f>U14</f>
        <v>37.5</v>
      </c>
      <c r="V23" s="103">
        <f>V14</f>
        <v>50</v>
      </c>
      <c r="W23" s="87"/>
    </row>
    <row r="24" spans="1:23" x14ac:dyDescent="0.15">
      <c r="A24" s="105">
        <f t="shared" si="20"/>
        <v>52</v>
      </c>
      <c r="B24" s="106">
        <f>B15-B14</f>
        <v>0.69444444444444287</v>
      </c>
      <c r="C24" s="106">
        <f>C15-C14</f>
        <v>3.4722222222222214</v>
      </c>
      <c r="D24" s="107">
        <f>D15-D14</f>
        <v>0</v>
      </c>
      <c r="E24" s="87"/>
      <c r="F24" s="87"/>
      <c r="G24" s="108">
        <f t="shared" si="21"/>
        <v>52</v>
      </c>
      <c r="H24" s="106">
        <f t="shared" ref="H24:J28" si="24">H15-H14</f>
        <v>1.0416666666666679</v>
      </c>
      <c r="I24" s="106">
        <f t="shared" si="24"/>
        <v>3.1250000000000036</v>
      </c>
      <c r="J24" s="107">
        <f t="shared" si="24"/>
        <v>0</v>
      </c>
      <c r="K24" s="87"/>
      <c r="L24" s="87"/>
      <c r="M24" s="105">
        <f t="shared" si="22"/>
        <v>52</v>
      </c>
      <c r="N24" s="106">
        <f t="shared" ref="N24:P28" si="25">N15-N14</f>
        <v>0.5952380952380949</v>
      </c>
      <c r="O24" s="106">
        <f t="shared" si="25"/>
        <v>3.5714285714285765</v>
      </c>
      <c r="P24" s="107">
        <f t="shared" si="25"/>
        <v>0</v>
      </c>
      <c r="Q24" s="87"/>
      <c r="R24" s="87"/>
      <c r="S24" s="105">
        <f t="shared" si="23"/>
        <v>52</v>
      </c>
      <c r="T24" s="106">
        <f t="shared" ref="T24:V28" si="26">T15-T14</f>
        <v>0.52083333333333393</v>
      </c>
      <c r="U24" s="106">
        <f t="shared" si="26"/>
        <v>3.6458333333333357</v>
      </c>
      <c r="V24" s="107">
        <f t="shared" si="26"/>
        <v>0</v>
      </c>
      <c r="W24" s="87"/>
    </row>
    <row r="25" spans="1:23" x14ac:dyDescent="0.15">
      <c r="A25" s="105">
        <f t="shared" si="20"/>
        <v>54</v>
      </c>
      <c r="B25" s="106">
        <f t="shared" ref="B25:D28" si="27">B16-B15</f>
        <v>0.75483091787439704</v>
      </c>
      <c r="C25" s="106">
        <f t="shared" si="27"/>
        <v>3.7741545893719817</v>
      </c>
      <c r="D25" s="107">
        <f t="shared" si="27"/>
        <v>0</v>
      </c>
      <c r="E25" s="87"/>
      <c r="F25" s="87"/>
      <c r="G25" s="108">
        <f t="shared" si="21"/>
        <v>54</v>
      </c>
      <c r="H25" s="106">
        <f t="shared" si="24"/>
        <v>1.1322463768115938</v>
      </c>
      <c r="I25" s="106">
        <f t="shared" si="24"/>
        <v>3.3967391304347849</v>
      </c>
      <c r="J25" s="107">
        <f t="shared" si="24"/>
        <v>0</v>
      </c>
      <c r="K25" s="87"/>
      <c r="L25" s="87"/>
      <c r="M25" s="105">
        <f t="shared" si="22"/>
        <v>54</v>
      </c>
      <c r="N25" s="106">
        <f t="shared" si="25"/>
        <v>0.64699792960662528</v>
      </c>
      <c r="O25" s="106">
        <f t="shared" si="25"/>
        <v>3.8819875776397481</v>
      </c>
      <c r="P25" s="107">
        <f t="shared" si="25"/>
        <v>0</v>
      </c>
      <c r="Q25" s="87"/>
      <c r="R25" s="87"/>
      <c r="S25" s="105">
        <f t="shared" si="23"/>
        <v>54</v>
      </c>
      <c r="T25" s="106">
        <f t="shared" si="26"/>
        <v>0.5661231884057969</v>
      </c>
      <c r="U25" s="106">
        <f t="shared" si="26"/>
        <v>3.9628623188405854</v>
      </c>
      <c r="V25" s="107">
        <f t="shared" si="26"/>
        <v>0</v>
      </c>
      <c r="W25" s="87"/>
    </row>
    <row r="26" spans="1:23" x14ac:dyDescent="0.15">
      <c r="A26" s="105">
        <f t="shared" si="20"/>
        <v>56</v>
      </c>
      <c r="B26" s="106">
        <f t="shared" si="27"/>
        <v>0.82345191040843346</v>
      </c>
      <c r="C26" s="106">
        <f t="shared" si="27"/>
        <v>4.1172595520421709</v>
      </c>
      <c r="D26" s="107">
        <f t="shared" si="27"/>
        <v>0</v>
      </c>
      <c r="E26" s="87"/>
      <c r="F26" s="87"/>
      <c r="G26" s="108">
        <f t="shared" si="21"/>
        <v>56</v>
      </c>
      <c r="H26" s="106">
        <f t="shared" si="24"/>
        <v>1.235177865612652</v>
      </c>
      <c r="I26" s="106">
        <f t="shared" si="24"/>
        <v>3.7055335968379524</v>
      </c>
      <c r="J26" s="107">
        <f t="shared" si="24"/>
        <v>0</v>
      </c>
      <c r="K26" s="87"/>
      <c r="L26" s="87"/>
      <c r="M26" s="105">
        <f t="shared" si="22"/>
        <v>56</v>
      </c>
      <c r="N26" s="106">
        <f t="shared" si="25"/>
        <v>0.70581592320722919</v>
      </c>
      <c r="O26" s="106">
        <f t="shared" si="25"/>
        <v>4.2348955392433751</v>
      </c>
      <c r="P26" s="107">
        <f t="shared" si="25"/>
        <v>0</v>
      </c>
      <c r="Q26" s="87"/>
      <c r="R26" s="87"/>
      <c r="S26" s="105">
        <f t="shared" si="23"/>
        <v>56</v>
      </c>
      <c r="T26" s="106">
        <f t="shared" si="26"/>
        <v>0.61758893280632599</v>
      </c>
      <c r="U26" s="106">
        <f t="shared" si="26"/>
        <v>4.323122529644273</v>
      </c>
      <c r="V26" s="107">
        <f t="shared" si="26"/>
        <v>0</v>
      </c>
      <c r="W26" s="87"/>
    </row>
    <row r="27" spans="1:23" x14ac:dyDescent="0.15">
      <c r="A27" s="105">
        <f t="shared" si="20"/>
        <v>58</v>
      </c>
      <c r="B27" s="106">
        <f t="shared" si="27"/>
        <v>0.90187590187589706</v>
      </c>
      <c r="C27" s="106">
        <f t="shared" si="27"/>
        <v>4.5093795093794782</v>
      </c>
      <c r="D27" s="107">
        <f t="shared" si="27"/>
        <v>0</v>
      </c>
      <c r="E27" s="87"/>
      <c r="F27" s="87"/>
      <c r="G27" s="108">
        <f t="shared" si="21"/>
        <v>58</v>
      </c>
      <c r="H27" s="106">
        <f t="shared" si="24"/>
        <v>1.3528138528138456</v>
      </c>
      <c r="I27" s="106">
        <f t="shared" si="24"/>
        <v>4.0584415584415368</v>
      </c>
      <c r="J27" s="107">
        <f t="shared" si="24"/>
        <v>0</v>
      </c>
      <c r="K27" s="87"/>
      <c r="L27" s="87"/>
      <c r="M27" s="105">
        <f t="shared" si="22"/>
        <v>58</v>
      </c>
      <c r="N27" s="106">
        <f t="shared" si="25"/>
        <v>0.77303648732219798</v>
      </c>
      <c r="O27" s="106">
        <f t="shared" si="25"/>
        <v>4.6382189239331879</v>
      </c>
      <c r="P27" s="107">
        <f t="shared" si="25"/>
        <v>0</v>
      </c>
      <c r="Q27" s="87"/>
      <c r="R27" s="87"/>
      <c r="S27" s="105">
        <f t="shared" si="23"/>
        <v>58</v>
      </c>
      <c r="T27" s="106">
        <f t="shared" si="26"/>
        <v>0.67640692640692279</v>
      </c>
      <c r="U27" s="106">
        <f t="shared" si="26"/>
        <v>4.7348484848484631</v>
      </c>
      <c r="V27" s="107">
        <f t="shared" si="26"/>
        <v>0</v>
      </c>
      <c r="W27" s="87"/>
    </row>
    <row r="28" spans="1:23" ht="14" thickBot="1" x14ac:dyDescent="0.2">
      <c r="A28" s="109">
        <f t="shared" si="20"/>
        <v>60</v>
      </c>
      <c r="B28" s="110">
        <f t="shared" si="27"/>
        <v>0.99206349206349032</v>
      </c>
      <c r="C28" s="110">
        <f t="shared" si="27"/>
        <v>4.9603174603174622</v>
      </c>
      <c r="D28" s="111">
        <f t="shared" si="27"/>
        <v>0</v>
      </c>
      <c r="E28" s="87"/>
      <c r="F28" s="87"/>
      <c r="G28" s="112">
        <f t="shared" si="21"/>
        <v>60</v>
      </c>
      <c r="H28" s="110">
        <f t="shared" si="24"/>
        <v>1.4880952380952408</v>
      </c>
      <c r="I28" s="110">
        <f t="shared" si="24"/>
        <v>4.4642857142857224</v>
      </c>
      <c r="J28" s="111">
        <f t="shared" si="24"/>
        <v>0</v>
      </c>
      <c r="K28" s="87"/>
      <c r="L28" s="87"/>
      <c r="M28" s="109">
        <f t="shared" si="22"/>
        <v>60</v>
      </c>
      <c r="N28" s="110">
        <f t="shared" si="25"/>
        <v>0.85034013605442382</v>
      </c>
      <c r="O28" s="110">
        <f t="shared" si="25"/>
        <v>5.1020408163265429</v>
      </c>
      <c r="P28" s="111">
        <f t="shared" si="25"/>
        <v>0</v>
      </c>
      <c r="Q28" s="87"/>
      <c r="R28" s="87"/>
      <c r="S28" s="109">
        <f t="shared" si="23"/>
        <v>60</v>
      </c>
      <c r="T28" s="110">
        <f t="shared" si="26"/>
        <v>0.7440476190476204</v>
      </c>
      <c r="U28" s="110">
        <f t="shared" si="26"/>
        <v>5.2083333333333428</v>
      </c>
      <c r="V28" s="111">
        <f t="shared" si="26"/>
        <v>0</v>
      </c>
      <c r="W28" s="87"/>
    </row>
  </sheetData>
  <sheetProtection algorithmName="SHA-512" hashValue="+6gU29vm8JAxzH776Ch+6YABws1q8JC8qN6EO//GIEPqQJV+7c1oOm9gVdBCe4ejzJP3Amq040CuzhOfo//Rtw==" saltValue="jzQS6vGzd96GJV90ctYzhA==" spinCount="100000" sheet="1" objects="1" scenarios="1"/>
  <mergeCells count="21">
    <mergeCell ref="A21:D21"/>
    <mergeCell ref="G21:J21"/>
    <mergeCell ref="M21:P21"/>
    <mergeCell ref="S21:V21"/>
    <mergeCell ref="E9:E11"/>
    <mergeCell ref="K9:K11"/>
    <mergeCell ref="Q9:Q11"/>
    <mergeCell ref="W9:W11"/>
    <mergeCell ref="A12:D12"/>
    <mergeCell ref="G12:J12"/>
    <mergeCell ref="M12:P12"/>
    <mergeCell ref="S12:V12"/>
    <mergeCell ref="A3:D3"/>
    <mergeCell ref="G3:J3"/>
    <mergeCell ref="M3:P3"/>
    <mergeCell ref="S3:V3"/>
    <mergeCell ref="M1:P1"/>
    <mergeCell ref="A2:D2"/>
    <mergeCell ref="G2:J2"/>
    <mergeCell ref="M2:P2"/>
    <mergeCell ref="S2:V2"/>
  </mergeCells>
  <pageMargins left="0.51181102362204722" right="0.51181102362204722" top="0.78740157480314965" bottom="0.78740157480314965" header="0.31496062992125984" footer="0.31496062992125984"/>
  <pageSetup paperSize="9" scale="66" orientation="landscape" horizontalDpi="4294967293" verticalDpi="4294967293" r:id="rId1"/>
  <headerFooter>
    <oddFooter>&amp;C&amp;1#&amp;"Calibri"&amp;10&amp;KFF0000This content is Confidential.</oddFooter>
  </headerFooter>
  <colBreaks count="1" manualBreakCount="1">
    <brk id="12" max="27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08C0-9075-4B42-B65D-11ED4F2BA563}">
  <sheetPr codeName="Planilha6">
    <tabColor theme="8" tint="0.39997558519241921"/>
  </sheetPr>
  <dimension ref="A1:Q28"/>
  <sheetViews>
    <sheetView zoomScale="85" zoomScaleNormal="85" workbookViewId="0">
      <selection activeCell="AD7" sqref="AD7"/>
    </sheetView>
  </sheetViews>
  <sheetFormatPr baseColWidth="10" defaultColWidth="8.83203125" defaultRowHeight="13" x14ac:dyDescent="0.15"/>
  <cols>
    <col min="1" max="1" width="9.5" customWidth="1"/>
    <col min="3" max="9" width="9.6640625" customWidth="1"/>
    <col min="17" max="17" width="9.5" bestFit="1" customWidth="1"/>
  </cols>
  <sheetData>
    <row r="1" spans="1:17" ht="35.25" customHeight="1" x14ac:dyDescent="0.15"/>
    <row r="2" spans="1:17" ht="19" thickBot="1" x14ac:dyDescent="0.2">
      <c r="A2" s="621" t="s">
        <v>51</v>
      </c>
      <c r="B2" s="621"/>
      <c r="C2" s="622"/>
      <c r="D2" s="622"/>
      <c r="E2" s="622"/>
      <c r="F2" s="622"/>
      <c r="G2" s="623"/>
      <c r="H2" s="623"/>
      <c r="I2" s="623"/>
    </row>
    <row r="3" spans="1:17" ht="15.75" customHeight="1" x14ac:dyDescent="0.2">
      <c r="A3" s="624" t="s">
        <v>11</v>
      </c>
      <c r="B3" s="624" t="s">
        <v>52</v>
      </c>
      <c r="C3" s="655" t="s">
        <v>11</v>
      </c>
      <c r="D3" s="513"/>
      <c r="E3" s="513"/>
      <c r="F3" s="647"/>
      <c r="G3" s="647"/>
      <c r="H3" s="647"/>
      <c r="I3" s="656"/>
      <c r="K3" s="646" t="s">
        <v>62</v>
      </c>
      <c r="L3" s="647"/>
      <c r="M3" s="640">
        <v>54</v>
      </c>
    </row>
    <row r="4" spans="1:17" ht="31.5" customHeight="1" thickBot="1" x14ac:dyDescent="0.2">
      <c r="A4" s="625"/>
      <c r="B4" s="625"/>
      <c r="C4" s="196" t="s">
        <v>12</v>
      </c>
      <c r="D4" s="10" t="s">
        <v>16</v>
      </c>
      <c r="E4" s="10" t="s">
        <v>15</v>
      </c>
      <c r="F4" s="10" t="s">
        <v>38</v>
      </c>
      <c r="G4" s="10" t="s">
        <v>14</v>
      </c>
      <c r="H4" s="10" t="s">
        <v>13</v>
      </c>
      <c r="I4" s="287" t="s">
        <v>127</v>
      </c>
      <c r="K4" s="648"/>
      <c r="L4" s="649"/>
      <c r="M4" s="641"/>
    </row>
    <row r="5" spans="1:17" ht="15.75" customHeight="1" x14ac:dyDescent="0.15">
      <c r="A5" s="115" t="s">
        <v>57</v>
      </c>
      <c r="B5" s="116">
        <f>Traços!K3</f>
        <v>3</v>
      </c>
      <c r="C5" s="117" t="s">
        <v>18</v>
      </c>
      <c r="D5" s="288">
        <f>IFERROR(INDEX(Empacotamento!$U$7:$Z$7,1,MATCH(D$4,Empacotamento!$U2:$Z$2,0))*((($M$3/100)*(1+B5))-1),"")</f>
        <v>0.17102838186509403</v>
      </c>
      <c r="E5" s="288">
        <f>IFERROR(INDEX(Empacotamento!$U$7:$Z$7,1,MATCH(E$4,Empacotamento!$U2:$Z$2,0))*((($M$3/100)*(1+$B$5))-1),"")</f>
        <v>0.53873940287504618</v>
      </c>
      <c r="F5" s="288">
        <f>IFERROR(INDEX(Empacotamento!$U$7:$Z$7,1,MATCH(F$4,Empacotamento!$U2:$Z$2,0))*((($M$3/100)*(1+$B$5))-1),"")</f>
        <v>0.45023221525985996</v>
      </c>
      <c r="G5" s="288">
        <f>IFERROR(INDEX(Empacotamento!$U$7:$Z$7,1,MATCH('3 traços'!G$4,Empacotamento!$U2:$Z$2,0))*(B5-SUM(D5:F5)),"")</f>
        <v>1.4719999999999998</v>
      </c>
      <c r="H5" s="288">
        <f>IFERROR(INDEX(Empacotamento!$U$7:$Z$7,1,MATCH('3 traços'!H$4,Empacotamento!$U2:$Z$2,0))*(B5-SUM(D5:F5)),"")</f>
        <v>0.11039999999999996</v>
      </c>
      <c r="I5" s="289">
        <f>IFERROR(INDEX(Empacotamento!$U$7:$Z$7,1,MATCH('3 traços'!I$4,Empacotamento!$U2:$Z$2,0))*($B$5-SUM(D5:F5)),"")</f>
        <v>0.25760000000000022</v>
      </c>
      <c r="K5" s="650" t="s">
        <v>65</v>
      </c>
      <c r="L5" s="649"/>
      <c r="M5" s="641">
        <v>0.4</v>
      </c>
      <c r="O5" s="294"/>
      <c r="Q5" s="296"/>
    </row>
    <row r="6" spans="1:17" ht="15.75" customHeight="1" thickBot="1" x14ac:dyDescent="0.2">
      <c r="A6" s="123" t="s">
        <v>58</v>
      </c>
      <c r="B6" s="124">
        <f>Traços!E3</f>
        <v>5</v>
      </c>
      <c r="C6" s="125" t="s">
        <v>18</v>
      </c>
      <c r="D6" s="290">
        <f>IFERROR(INDEX(Empacotamento!$U$7:$Z$7,1,MATCH(D$4,Empacotamento!$U$2:$Z$2,0))*((($M$3/100)*(1+B6))-1),"")</f>
        <v>0.33026170291190571</v>
      </c>
      <c r="E6" s="290">
        <f>IFERROR(INDEX(Empacotamento!$U$7:$Z$7,1,MATCH(E$4,Empacotamento!$U$2:$Z$2,0))*((($M$3/100)*(1+B6))-1),"")</f>
        <v>1.0403243641725028</v>
      </c>
      <c r="F6" s="290">
        <f>IFERROR(INDEX(Empacotamento!$U$7:$Z$7,1,MATCH(F$4,Empacotamento!$U$2:$Z$2,0))*((($M$3/100)*(1+B6))-1),"")</f>
        <v>0.86941393291559166</v>
      </c>
      <c r="G6" s="290">
        <f>IFERROR(INDEX(Empacotamento!$U$7:$Z$7,1,MATCH('3 traços'!G$4,Empacotamento!$U$2:$Z$2,0))*(B6-SUM(D6:F6)),"")</f>
        <v>2.2079999999999997</v>
      </c>
      <c r="H6" s="290">
        <f>IFERROR(INDEX(Empacotamento!$U$7:$Z$7,1,MATCH('3 traços'!H$4,Empacotamento!$U$2:$Z$2,0))*(B6-SUM(D6:F6)),"")</f>
        <v>0.16559999999999994</v>
      </c>
      <c r="I6" s="291">
        <f>IFERROR(INDEX(Empacotamento!$U$7:$Z$7,1,MATCH('3 traços'!I$4,Empacotamento!$U$2:$Z$2,0))*(B6-SUM(D6:F6)),"")</f>
        <v>0.3864000000000003</v>
      </c>
      <c r="K6" s="651"/>
      <c r="L6" s="652"/>
      <c r="M6" s="645"/>
      <c r="Q6" s="296"/>
    </row>
    <row r="7" spans="1:17" ht="15.75" customHeight="1" thickBot="1" x14ac:dyDescent="0.2">
      <c r="A7" s="131" t="s">
        <v>59</v>
      </c>
      <c r="B7" s="132">
        <f>Traços!W3</f>
        <v>7</v>
      </c>
      <c r="C7" s="133" t="s">
        <v>18</v>
      </c>
      <c r="D7" s="292">
        <f>IFERROR(INDEX(Empacotamento!$U$7:$Z$7,1,MATCH(D$4,Empacotamento!$U$2:$Z2,0))*((($M$3/100)*(1+B7))-1),"")</f>
        <v>0.48949502395871741</v>
      </c>
      <c r="E7" s="292">
        <f>IFERROR(INDEX(Empacotamento!$U$7:$Z$7,1,MATCH(E$4,Empacotamento!$U$2:$Z2,0))*((($M$3/100)*(1+B7))-1),"")</f>
        <v>1.5419093254699596</v>
      </c>
      <c r="F7" s="292">
        <f>IFERROR(INDEX(Empacotamento!$U$7:$Z$7,1,MATCH(F$4,Empacotamento!$U$2:$Z$2,0))*((($M$3/100)*(1+B7))-1),"")</f>
        <v>1.2885956505713234</v>
      </c>
      <c r="G7" s="292">
        <f>IFERROR(INDEX(Empacotamento!$U$7:$Z$7,1,MATCH('3 traços'!G$4,Empacotamento!$U$2:$Z$2,0))*(B7-SUM(D7:F7)),"")</f>
        <v>2.9439999999999995</v>
      </c>
      <c r="H7" s="292">
        <f>IFERROR(INDEX(Empacotamento!$U$7:$Z$7,1,MATCH('3 traços'!H$4,Empacotamento!$U$2:$Z$2,0))*(B7-SUM(D7:F7)),"")</f>
        <v>0.22079999999999991</v>
      </c>
      <c r="I7" s="293">
        <f>IFERROR(INDEX(Empacotamento!$U$7:$Z$7,1,MATCH('3 traços'!I$4,Empacotamento!$U$2:$Z$2,0))*(B7-SUM(D7:F7)),"")</f>
        <v>0.51520000000000044</v>
      </c>
      <c r="Q7" s="296"/>
    </row>
    <row r="8" spans="1:17" ht="5" customHeight="1" thickBot="1" x14ac:dyDescent="0.2"/>
    <row r="9" spans="1:17" ht="15.75" customHeight="1" x14ac:dyDescent="0.15">
      <c r="A9" s="624" t="s">
        <v>11</v>
      </c>
      <c r="B9" s="626" t="s">
        <v>139</v>
      </c>
      <c r="C9" s="628" t="s">
        <v>135</v>
      </c>
      <c r="D9" s="630" t="s">
        <v>136</v>
      </c>
      <c r="E9" s="630" t="s">
        <v>137</v>
      </c>
      <c r="F9" s="630" t="s">
        <v>138</v>
      </c>
      <c r="G9" s="630" t="s">
        <v>141</v>
      </c>
      <c r="H9" s="630" t="s">
        <v>142</v>
      </c>
      <c r="I9" s="630" t="s">
        <v>140</v>
      </c>
      <c r="J9" s="630" t="s">
        <v>143</v>
      </c>
      <c r="K9" s="653" t="s">
        <v>144</v>
      </c>
      <c r="L9" s="632" t="s">
        <v>54</v>
      </c>
      <c r="M9" s="632" t="s">
        <v>55</v>
      </c>
    </row>
    <row r="10" spans="1:17" ht="15.75" customHeight="1" thickBot="1" x14ac:dyDescent="0.2">
      <c r="A10" s="625"/>
      <c r="B10" s="627"/>
      <c r="C10" s="629"/>
      <c r="D10" s="631"/>
      <c r="E10" s="631"/>
      <c r="F10" s="631"/>
      <c r="G10" s="631"/>
      <c r="H10" s="631"/>
      <c r="I10" s="631"/>
      <c r="J10" s="631"/>
      <c r="K10" s="654"/>
      <c r="L10" s="633"/>
      <c r="M10" s="633"/>
    </row>
    <row r="11" spans="1:17" ht="15.75" customHeight="1" x14ac:dyDescent="0.15">
      <c r="A11" s="115" t="s">
        <v>57</v>
      </c>
      <c r="B11" s="118">
        <f>G16</f>
        <v>2419.2264841636152</v>
      </c>
      <c r="C11" s="119">
        <f>B11/(1+B5+L11)</f>
        <v>543.64640093564378</v>
      </c>
      <c r="D11" s="120">
        <f>IFERROR(C11*D5,"")</f>
        <v>92.978964258805291</v>
      </c>
      <c r="E11" s="120">
        <f>IFERROR(C11*E5,"")</f>
        <v>292.88373741523668</v>
      </c>
      <c r="F11" s="120">
        <f>IFERROR(C11*F5,"")</f>
        <v>244.76712341130491</v>
      </c>
      <c r="G11" s="120">
        <f>IFERROR(C11*G5,"")</f>
        <v>800.24750217726751</v>
      </c>
      <c r="H11" s="120">
        <f>IFERROR(C11*H5,"")</f>
        <v>60.01856266329505</v>
      </c>
      <c r="I11" s="120">
        <f>IFERROR(C11*I5,"")</f>
        <v>140.04331288102196</v>
      </c>
      <c r="J11" s="120">
        <f>L11*C11</f>
        <v>244.6408804210397</v>
      </c>
      <c r="K11" s="121">
        <f>C11*$M$5/100</f>
        <v>2.1745856037425755</v>
      </c>
      <c r="L11" s="334">
        <v>0.45</v>
      </c>
      <c r="M11" s="122">
        <f>(L11*100)/(1+B5)</f>
        <v>11.25</v>
      </c>
    </row>
    <row r="12" spans="1:17" ht="15.75" customHeight="1" x14ac:dyDescent="0.15">
      <c r="A12" s="123" t="s">
        <v>58</v>
      </c>
      <c r="B12" s="126">
        <f>G21</f>
        <v>2435.1424478752183</v>
      </c>
      <c r="C12" s="127">
        <f>B12/(1+B6+L12)</f>
        <v>370.64573027020066</v>
      </c>
      <c r="D12" s="128">
        <f>IFERROR(C12*D6,"")</f>
        <v>122.41009005606335</v>
      </c>
      <c r="E12" s="128">
        <f>IFERROR(C12*E6,"")</f>
        <v>385.5917836765995</v>
      </c>
      <c r="F12" s="128">
        <f>IFERROR(C12*F6,"")</f>
        <v>322.24456207258669</v>
      </c>
      <c r="G12" s="128">
        <f>IFERROR(C12*G6,"")</f>
        <v>818.38577243660291</v>
      </c>
      <c r="H12" s="128">
        <f>IFERROR(C12*H6,"")</f>
        <v>61.378932932745208</v>
      </c>
      <c r="I12" s="128">
        <f>IFERROR(C12*I6,"")</f>
        <v>143.21751017640565</v>
      </c>
      <c r="J12" s="128">
        <f>L12*C12</f>
        <v>211.26806625401437</v>
      </c>
      <c r="K12" s="129">
        <f>C12*$M$5/100</f>
        <v>1.4825829210808026</v>
      </c>
      <c r="L12" s="335">
        <v>0.56999999999999995</v>
      </c>
      <c r="M12" s="130">
        <f>(L12*100)/(1+B6)</f>
        <v>9.4999999999999982</v>
      </c>
    </row>
    <row r="13" spans="1:17" ht="15.75" customHeight="1" thickBot="1" x14ac:dyDescent="0.2">
      <c r="A13" s="131" t="s">
        <v>59</v>
      </c>
      <c r="B13" s="134">
        <f>G26</f>
        <v>2419.2264841636156</v>
      </c>
      <c r="C13" s="135">
        <f>B13/(1+B7+L13)</f>
        <v>278.71272859027829</v>
      </c>
      <c r="D13" s="136">
        <f>IFERROR(C13*D7,"")</f>
        <v>136.42849375889779</v>
      </c>
      <c r="E13" s="136">
        <f>IFERROR(C13*E7,"")</f>
        <v>429.74975534052794</v>
      </c>
      <c r="F13" s="136">
        <f>IFERROR(C13*F7,"")</f>
        <v>359.14800982029834</v>
      </c>
      <c r="G13" s="136">
        <f>IFERROR(C13*G7,"")</f>
        <v>820.53027296977916</v>
      </c>
      <c r="H13" s="136">
        <f>IFERROR(C13*H7,"")</f>
        <v>61.539770472733423</v>
      </c>
      <c r="I13" s="136">
        <f>IFERROR(C13*I7,"")</f>
        <v>143.5927977697115</v>
      </c>
      <c r="J13" s="136">
        <f>L13*C13</f>
        <v>189.52465544138926</v>
      </c>
      <c r="K13" s="137">
        <f>C13*$M$5/100</f>
        <v>1.1148509143611132</v>
      </c>
      <c r="L13" s="336">
        <v>0.68</v>
      </c>
      <c r="M13" s="138">
        <f>(L13*100)/(1+B7)</f>
        <v>8.5</v>
      </c>
    </row>
    <row r="14" spans="1:17" ht="5" customHeight="1" thickBot="1" x14ac:dyDescent="0.2">
      <c r="H14" s="149"/>
    </row>
    <row r="15" spans="1:17" ht="15" customHeight="1" x14ac:dyDescent="0.2">
      <c r="B15" s="634" t="str">
        <f>A5</f>
        <v>Rico</v>
      </c>
      <c r="C15" s="637">
        <f>B5</f>
        <v>3</v>
      </c>
      <c r="D15" s="139" t="s">
        <v>60</v>
      </c>
      <c r="E15" s="337">
        <v>1.9</v>
      </c>
      <c r="F15" s="140" t="s">
        <v>61</v>
      </c>
      <c r="G15" s="281" t="s">
        <v>139</v>
      </c>
      <c r="H15" s="87"/>
      <c r="I15" s="150"/>
    </row>
    <row r="16" spans="1:17" ht="15" customHeight="1" thickBot="1" x14ac:dyDescent="0.2">
      <c r="B16" s="635"/>
      <c r="C16" s="638"/>
      <c r="D16" s="142" t="s">
        <v>63</v>
      </c>
      <c r="E16" s="338">
        <v>5.5</v>
      </c>
      <c r="F16" s="143">
        <f>((E16-E15)*4)/(3.1415*100*20/1000000)</f>
        <v>2291.8987744707938</v>
      </c>
      <c r="G16" s="642">
        <f>(F16+F18)/2</f>
        <v>2419.2264841636152</v>
      </c>
    </row>
    <row r="17" spans="1:8" ht="15" customHeight="1" x14ac:dyDescent="0.15">
      <c r="B17" s="635"/>
      <c r="C17" s="638"/>
      <c r="D17" s="144" t="s">
        <v>60</v>
      </c>
      <c r="E17" s="337">
        <v>2.1</v>
      </c>
      <c r="F17" s="145" t="s">
        <v>64</v>
      </c>
      <c r="G17" s="643"/>
    </row>
    <row r="18" spans="1:8" ht="15" customHeight="1" thickBot="1" x14ac:dyDescent="0.2">
      <c r="B18" s="636"/>
      <c r="C18" s="639"/>
      <c r="D18" s="146" t="s">
        <v>63</v>
      </c>
      <c r="E18" s="338">
        <v>6.1</v>
      </c>
      <c r="F18" s="143">
        <f>((E18-E17)*4)/(3.1415*100*20/1000000)</f>
        <v>2546.554193856437</v>
      </c>
      <c r="G18" s="644"/>
    </row>
    <row r="19" spans="1:8" ht="5" customHeight="1" thickBot="1" x14ac:dyDescent="0.2">
      <c r="B19" s="147"/>
      <c r="E19" s="148"/>
    </row>
    <row r="20" spans="1:8" ht="15" customHeight="1" x14ac:dyDescent="0.2">
      <c r="B20" s="634" t="str">
        <f>A6</f>
        <v>Interm</v>
      </c>
      <c r="C20" s="637">
        <f>B6</f>
        <v>5</v>
      </c>
      <c r="D20" s="139" t="s">
        <v>60</v>
      </c>
      <c r="E20" s="337">
        <v>1.9</v>
      </c>
      <c r="F20" s="140" t="s">
        <v>61</v>
      </c>
      <c r="G20" s="281" t="s">
        <v>139</v>
      </c>
    </row>
    <row r="21" spans="1:8" ht="15" customHeight="1" thickBot="1" x14ac:dyDescent="0.2">
      <c r="B21" s="635"/>
      <c r="C21" s="638"/>
      <c r="D21" s="142" t="s">
        <v>63</v>
      </c>
      <c r="E21" s="338">
        <v>5.7</v>
      </c>
      <c r="F21" s="143">
        <f>((E21-E20)*4)/(3.1415*100*20/1000000)</f>
        <v>2419.2264841636156</v>
      </c>
      <c r="G21" s="642">
        <f>(F21+F23)/2</f>
        <v>2435.1424478752183</v>
      </c>
    </row>
    <row r="22" spans="1:8" ht="15" customHeight="1" x14ac:dyDescent="0.15">
      <c r="B22" s="635"/>
      <c r="C22" s="638"/>
      <c r="D22" s="144" t="s">
        <v>60</v>
      </c>
      <c r="E22" s="337">
        <v>2.1</v>
      </c>
      <c r="F22" s="145" t="s">
        <v>64</v>
      </c>
      <c r="G22" s="643"/>
    </row>
    <row r="23" spans="1:8" ht="15" customHeight="1" thickBot="1" x14ac:dyDescent="0.2">
      <c r="B23" s="636"/>
      <c r="C23" s="639"/>
      <c r="D23" s="146" t="s">
        <v>63</v>
      </c>
      <c r="E23" s="338">
        <v>5.95</v>
      </c>
      <c r="F23" s="143">
        <f>((E23-E22)*4)/(3.1415*100*20/1000000)</f>
        <v>2451.058411586821</v>
      </c>
      <c r="G23" s="644"/>
    </row>
    <row r="24" spans="1:8" ht="5" customHeight="1" thickBot="1" x14ac:dyDescent="0.2">
      <c r="A24" s="147"/>
      <c r="B24" s="147"/>
      <c r="E24" s="148"/>
      <c r="H24" s="149"/>
    </row>
    <row r="25" spans="1:8" ht="15" customHeight="1" x14ac:dyDescent="0.2">
      <c r="B25" s="634" t="str">
        <f>A7</f>
        <v>Pobre</v>
      </c>
      <c r="C25" s="637">
        <f>B7</f>
        <v>7</v>
      </c>
      <c r="D25" s="139" t="s">
        <v>60</v>
      </c>
      <c r="E25" s="337">
        <v>1.9</v>
      </c>
      <c r="F25" s="140" t="s">
        <v>61</v>
      </c>
      <c r="G25" s="281" t="s">
        <v>139</v>
      </c>
    </row>
    <row r="26" spans="1:8" ht="15" customHeight="1" thickBot="1" x14ac:dyDescent="0.2">
      <c r="B26" s="635"/>
      <c r="C26" s="638"/>
      <c r="D26" s="142" t="s">
        <v>63</v>
      </c>
      <c r="E26" s="338">
        <v>5.65</v>
      </c>
      <c r="F26" s="143">
        <f>((E26-E25)*4)/(3.1415*100*20/1000000)</f>
        <v>2387.3945567404103</v>
      </c>
      <c r="G26" s="642">
        <f>(F26+F28)/2</f>
        <v>2419.2264841636156</v>
      </c>
    </row>
    <row r="27" spans="1:8" ht="15" customHeight="1" x14ac:dyDescent="0.15">
      <c r="B27" s="635"/>
      <c r="C27" s="638"/>
      <c r="D27" s="144" t="s">
        <v>60</v>
      </c>
      <c r="E27" s="337">
        <v>2.1</v>
      </c>
      <c r="F27" s="145" t="s">
        <v>64</v>
      </c>
      <c r="G27" s="643"/>
    </row>
    <row r="28" spans="1:8" ht="15" customHeight="1" thickBot="1" x14ac:dyDescent="0.2">
      <c r="B28" s="636"/>
      <c r="C28" s="639"/>
      <c r="D28" s="146" t="s">
        <v>63</v>
      </c>
      <c r="E28" s="338">
        <v>5.95</v>
      </c>
      <c r="F28" s="143">
        <f>((E28-E27)*4)/(3.1415*100*20/1000000)</f>
        <v>2451.058411586821</v>
      </c>
      <c r="G28" s="644"/>
    </row>
  </sheetData>
  <sheetProtection algorithmName="SHA-512" hashValue="AZ9MKh6tOH6V5cX7bzwK2+TE9vEFuaj93S+woUxv2WqvdgOYAcB4fX1n5ClqqyB9crYXmzSEXbBKeH8G8I3ztw==" saltValue="Ee7fdpIXIwyqU2HZgXdsmg==" spinCount="100000" sheet="1" objects="1" scenarios="1"/>
  <mergeCells count="30">
    <mergeCell ref="B20:B23"/>
    <mergeCell ref="C20:C23"/>
    <mergeCell ref="G21:G23"/>
    <mergeCell ref="B25:B28"/>
    <mergeCell ref="C25:C28"/>
    <mergeCell ref="G26:G28"/>
    <mergeCell ref="L9:L10"/>
    <mergeCell ref="M9:M10"/>
    <mergeCell ref="B15:B18"/>
    <mergeCell ref="C15:C18"/>
    <mergeCell ref="M3:M4"/>
    <mergeCell ref="G16:G18"/>
    <mergeCell ref="M5:M6"/>
    <mergeCell ref="K3:L4"/>
    <mergeCell ref="K5:L6"/>
    <mergeCell ref="J9:J10"/>
    <mergeCell ref="K9:K10"/>
    <mergeCell ref="C3:I3"/>
    <mergeCell ref="E9:E10"/>
    <mergeCell ref="F9:F10"/>
    <mergeCell ref="H9:H10"/>
    <mergeCell ref="I9:I10"/>
    <mergeCell ref="A2:I2"/>
    <mergeCell ref="A3:A4"/>
    <mergeCell ref="B3:B4"/>
    <mergeCell ref="B9:B10"/>
    <mergeCell ref="C9:C10"/>
    <mergeCell ref="D9:D10"/>
    <mergeCell ref="G9:G10"/>
    <mergeCell ref="A9:A10"/>
  </mergeCells>
  <pageMargins left="0.51181102362204722" right="0.51181102362204722" top="0.78740157480314965" bottom="0.78740157480314965" header="0.31496062992125984" footer="0.31496062992125984"/>
  <pageSetup paperSize="9" orientation="landscape" horizontalDpi="4294967293" verticalDpi="4294967293" r:id="rId1"/>
  <headerFooter>
    <oddFooter>&amp;C&amp;1#&amp;"Calibri"&amp;10&amp;KFF0000This content is Confidential.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CA9D-7FFA-48E0-857C-B52F9252ED43}">
  <sheetPr codeName="Planilha7">
    <tabColor theme="8" tint="0.39997558519241921"/>
  </sheetPr>
  <dimension ref="A1:Q68"/>
  <sheetViews>
    <sheetView zoomScale="80" zoomScaleNormal="80" workbookViewId="0">
      <pane xSplit="3" ySplit="7" topLeftCell="D8" activePane="bottomRight" state="frozen"/>
      <selection activeCell="AD7" sqref="AD7"/>
      <selection pane="topRight" activeCell="AD7" sqref="AD7"/>
      <selection pane="bottomLeft" activeCell="AD7" sqref="AD7"/>
      <selection pane="bottomRight" activeCell="AD7" sqref="AD7"/>
    </sheetView>
  </sheetViews>
  <sheetFormatPr baseColWidth="10" defaultColWidth="9.1640625" defaultRowHeight="13" x14ac:dyDescent="0.15"/>
  <cols>
    <col min="1" max="1" width="13.6640625" style="151" customWidth="1"/>
    <col min="2" max="2" width="16.1640625" style="151" customWidth="1"/>
    <col min="3" max="3" width="9.5" style="151" customWidth="1"/>
    <col min="4" max="5" width="7.6640625" style="151" customWidth="1"/>
    <col min="6" max="7" width="8.1640625" style="151" customWidth="1"/>
    <col min="8" max="8" width="6.1640625" style="151" customWidth="1"/>
    <col min="9" max="9" width="9.83203125" style="151" customWidth="1"/>
    <col min="10" max="10" width="4" style="151" customWidth="1"/>
    <col min="11" max="11" width="8" style="151" customWidth="1"/>
    <col min="12" max="12" width="4" style="151" customWidth="1"/>
    <col min="13" max="13" width="8.83203125" style="151" bestFit="1" customWidth="1"/>
    <col min="14" max="14" width="8.5" style="151" customWidth="1"/>
    <col min="15" max="256" width="11.5" style="151" customWidth="1"/>
    <col min="257" max="16384" width="9.1640625" style="151"/>
  </cols>
  <sheetData>
    <row r="1" spans="1:17" customFormat="1" ht="35.25" customHeight="1" thickBot="1" x14ac:dyDescent="0.2"/>
    <row r="2" spans="1:17" ht="38" thickBot="1" x14ac:dyDescent="0.2">
      <c r="A2" s="659" t="s">
        <v>66</v>
      </c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0"/>
      <c r="P2" s="661"/>
    </row>
    <row r="3" spans="1:17" ht="17" thickBot="1" x14ac:dyDescent="0.25">
      <c r="A3" s="662" t="s">
        <v>67</v>
      </c>
      <c r="B3" s="663"/>
      <c r="C3" s="152"/>
      <c r="D3" s="153"/>
      <c r="E3" s="153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5"/>
    </row>
    <row r="4" spans="1:17" ht="19" thickBot="1" x14ac:dyDescent="0.2">
      <c r="C4" s="156"/>
      <c r="D4" s="664" t="s">
        <v>68</v>
      </c>
      <c r="E4" s="665"/>
      <c r="F4" s="664" t="s">
        <v>69</v>
      </c>
      <c r="G4" s="666"/>
      <c r="H4" s="667" t="s">
        <v>54</v>
      </c>
      <c r="I4" s="665"/>
      <c r="J4" s="664" t="s">
        <v>10</v>
      </c>
      <c r="K4" s="666"/>
      <c r="L4" s="667" t="s">
        <v>70</v>
      </c>
      <c r="M4" s="665"/>
      <c r="N4" s="157" t="s">
        <v>71</v>
      </c>
      <c r="O4" s="158" t="s">
        <v>72</v>
      </c>
      <c r="P4" s="157" t="s">
        <v>73</v>
      </c>
      <c r="Q4" s="155"/>
    </row>
    <row r="5" spans="1:17" ht="19" x14ac:dyDescent="0.25">
      <c r="A5" s="657" t="s">
        <v>74</v>
      </c>
      <c r="B5" s="658"/>
      <c r="C5" s="156"/>
      <c r="D5" s="159" t="s">
        <v>75</v>
      </c>
      <c r="E5" s="339">
        <v>57</v>
      </c>
      <c r="F5" s="160" t="s">
        <v>75</v>
      </c>
      <c r="G5" s="342">
        <v>30</v>
      </c>
      <c r="H5" s="161" t="s">
        <v>76</v>
      </c>
      <c r="I5" s="162">
        <f>'3 traços'!L11</f>
        <v>0.45</v>
      </c>
      <c r="J5" s="163" t="s">
        <v>77</v>
      </c>
      <c r="K5" s="164">
        <f>'3 traços'!B5</f>
        <v>3</v>
      </c>
      <c r="L5" s="165" t="s">
        <v>78</v>
      </c>
      <c r="M5" s="162">
        <f>'3 traços'!C11</f>
        <v>543.64640093564378</v>
      </c>
      <c r="N5" s="166">
        <f>LOG(G5)</f>
        <v>1.4771212547196624</v>
      </c>
      <c r="O5" s="167">
        <f>LOG(E5)</f>
        <v>1.7558748556724915</v>
      </c>
      <c r="P5" s="166">
        <f>1/M5</f>
        <v>1.8394309210526326E-3</v>
      </c>
      <c r="Q5" s="155"/>
    </row>
    <row r="6" spans="1:17" ht="18" x14ac:dyDescent="0.25">
      <c r="A6" s="657" t="s">
        <v>79</v>
      </c>
      <c r="B6" s="658"/>
      <c r="C6" s="156"/>
      <c r="D6" s="168" t="s">
        <v>80</v>
      </c>
      <c r="E6" s="340">
        <v>36</v>
      </c>
      <c r="F6" s="169" t="s">
        <v>80</v>
      </c>
      <c r="G6" s="343">
        <v>20</v>
      </c>
      <c r="H6" s="170" t="s">
        <v>81</v>
      </c>
      <c r="I6" s="171">
        <f>'3 traços'!L12</f>
        <v>0.56999999999999995</v>
      </c>
      <c r="J6" s="172" t="s">
        <v>82</v>
      </c>
      <c r="K6" s="173">
        <f>'3 traços'!B6</f>
        <v>5</v>
      </c>
      <c r="L6" s="174" t="s">
        <v>83</v>
      </c>
      <c r="M6" s="171">
        <f>'3 traços'!C12</f>
        <v>370.64573027020066</v>
      </c>
      <c r="N6" s="175">
        <f>LOG(G6)</f>
        <v>1.3010299956639813</v>
      </c>
      <c r="O6" s="176">
        <f>LOG(E6)</f>
        <v>1.5563025007672873</v>
      </c>
      <c r="P6" s="175">
        <f>1/M6</f>
        <v>2.6979941176470592E-3</v>
      </c>
      <c r="Q6" s="155"/>
    </row>
    <row r="7" spans="1:17" ht="19" thickBot="1" x14ac:dyDescent="0.2">
      <c r="A7" s="657" t="s">
        <v>84</v>
      </c>
      <c r="B7" s="658"/>
      <c r="C7" s="156"/>
      <c r="D7" s="177" t="s">
        <v>85</v>
      </c>
      <c r="E7" s="341">
        <v>15</v>
      </c>
      <c r="F7" s="178" t="s">
        <v>85</v>
      </c>
      <c r="G7" s="344">
        <v>10</v>
      </c>
      <c r="H7" s="179" t="s">
        <v>86</v>
      </c>
      <c r="I7" s="180">
        <f>'3 traços'!L13</f>
        <v>0.68</v>
      </c>
      <c r="J7" s="181" t="s">
        <v>87</v>
      </c>
      <c r="K7" s="182">
        <f>'3 traços'!B7</f>
        <v>7</v>
      </c>
      <c r="L7" s="183" t="s">
        <v>88</v>
      </c>
      <c r="M7" s="180">
        <f>'3 traços'!C13</f>
        <v>278.71272859027829</v>
      </c>
      <c r="N7" s="184">
        <f>LOG(G7)</f>
        <v>1</v>
      </c>
      <c r="O7" s="185">
        <f>LOG(E7)</f>
        <v>1.1760912590556813</v>
      </c>
      <c r="P7" s="184">
        <f>1/M7</f>
        <v>3.587923684210527E-3</v>
      </c>
      <c r="Q7" s="155"/>
    </row>
    <row r="8" spans="1:17" ht="18" x14ac:dyDescent="0.25">
      <c r="A8" s="657" t="s">
        <v>89</v>
      </c>
      <c r="B8" s="658"/>
      <c r="C8" s="156"/>
      <c r="D8" s="186"/>
      <c r="E8" s="187"/>
      <c r="F8" s="186"/>
      <c r="G8" s="187"/>
      <c r="H8" s="188"/>
      <c r="I8" s="189"/>
      <c r="J8" s="190"/>
      <c r="K8" s="191"/>
      <c r="L8" s="192"/>
      <c r="M8" s="187"/>
      <c r="N8" s="193"/>
      <c r="O8" s="193"/>
      <c r="P8" s="193"/>
      <c r="Q8" s="155"/>
    </row>
    <row r="9" spans="1:17" x14ac:dyDescent="0.15">
      <c r="A9" s="657" t="s">
        <v>90</v>
      </c>
      <c r="B9" s="658"/>
      <c r="C9" s="156"/>
      <c r="O9" s="155"/>
    </row>
    <row r="11" spans="1:17" x14ac:dyDescent="0.15">
      <c r="A11" s="657" t="s">
        <v>91</v>
      </c>
      <c r="B11" s="658"/>
    </row>
    <row r="12" spans="1:17" x14ac:dyDescent="0.15">
      <c r="A12" s="657" t="s">
        <v>92</v>
      </c>
      <c r="B12" s="658"/>
    </row>
    <row r="13" spans="1:17" ht="14" thickBot="1" x14ac:dyDescent="0.2">
      <c r="A13" s="154"/>
      <c r="B13" s="154"/>
    </row>
    <row r="14" spans="1:17" ht="16" customHeight="1" x14ac:dyDescent="0.15">
      <c r="A14" s="194" t="s">
        <v>93</v>
      </c>
      <c r="B14" s="195">
        <f>SLOPE($O$5:$O$7,$I$5:$I$7)</f>
        <v>-2.5078355969618071</v>
      </c>
      <c r="C14" s="155"/>
    </row>
    <row r="15" spans="1:17" ht="13" customHeight="1" thickBot="1" x14ac:dyDescent="0.2">
      <c r="A15" s="196" t="s">
        <v>94</v>
      </c>
      <c r="B15" s="197">
        <f>INTERCEPT($O$5:$O$7,$I$5:$I$7)</f>
        <v>2.9171963767768445</v>
      </c>
      <c r="C15" s="155"/>
    </row>
    <row r="16" spans="1:17" ht="13" customHeight="1" thickBot="1" x14ac:dyDescent="0.2">
      <c r="A16" s="198"/>
      <c r="B16" s="198"/>
      <c r="C16" s="154"/>
    </row>
    <row r="17" spans="1:9" ht="13" customHeight="1" thickBot="1" x14ac:dyDescent="0.2">
      <c r="A17" s="199" t="s">
        <v>95</v>
      </c>
      <c r="B17" s="200" t="s">
        <v>54</v>
      </c>
      <c r="C17" s="201" t="s">
        <v>96</v>
      </c>
      <c r="D17" s="155"/>
    </row>
    <row r="18" spans="1:9" ht="16" customHeight="1" x14ac:dyDescent="0.15">
      <c r="A18" s="97">
        <f>LOG(C18)</f>
        <v>1.7558748556724915</v>
      </c>
      <c r="B18" s="202">
        <f>((A18-$B$15)/$B$14)</f>
        <v>0.46307721387768436</v>
      </c>
      <c r="C18" s="203">
        <f>E5</f>
        <v>57</v>
      </c>
      <c r="D18" s="155"/>
    </row>
    <row r="19" spans="1:9" ht="16" customHeight="1" x14ac:dyDescent="0.15">
      <c r="A19" s="99">
        <f>LOG(C19)</f>
        <v>1.667452952889954</v>
      </c>
      <c r="B19" s="204">
        <f>((A19-$B$15)/$B$14)</f>
        <v>0.49833546720563732</v>
      </c>
      <c r="C19" s="205">
        <f>(C18+C20)/2</f>
        <v>46.5</v>
      </c>
      <c r="D19" s="155"/>
    </row>
    <row r="20" spans="1:9" ht="13" customHeight="1" x14ac:dyDescent="0.15">
      <c r="A20" s="99">
        <f>LOG(C20)</f>
        <v>1.5563025007672873</v>
      </c>
      <c r="B20" s="204">
        <f>((A20-$B$15)/$B$14)</f>
        <v>0.54265673461938779</v>
      </c>
      <c r="C20" s="205">
        <f>E6</f>
        <v>36</v>
      </c>
      <c r="D20" s="155"/>
    </row>
    <row r="21" spans="1:9" ht="16" customHeight="1" x14ac:dyDescent="0.15">
      <c r="A21" s="99">
        <f>LOG(C21)</f>
        <v>1.4065401804339552</v>
      </c>
      <c r="B21" s="204">
        <f>((A21-$B$15)/$B$14)</f>
        <v>0.60237449303814783</v>
      </c>
      <c r="C21" s="205">
        <f>(C20+C22)/2</f>
        <v>25.5</v>
      </c>
      <c r="D21" s="155"/>
    </row>
    <row r="22" spans="1:9" ht="17" thickBot="1" x14ac:dyDescent="0.2">
      <c r="A22" s="100">
        <f>LOG(C22)</f>
        <v>1.1760912590556813</v>
      </c>
      <c r="B22" s="206">
        <f>((A22-$B$15)/$B$14)</f>
        <v>0.69426605150292842</v>
      </c>
      <c r="C22" s="207">
        <f>E7</f>
        <v>15</v>
      </c>
      <c r="D22" s="155"/>
    </row>
    <row r="23" spans="1:9" x14ac:dyDescent="0.15">
      <c r="A23" s="208"/>
      <c r="B23" s="208"/>
      <c r="C23" s="208"/>
      <c r="D23" s="209"/>
      <c r="E23" s="210"/>
    </row>
    <row r="24" spans="1:9" ht="16" x14ac:dyDescent="0.2">
      <c r="D24" s="211"/>
      <c r="E24" s="212"/>
      <c r="I24" s="213"/>
    </row>
    <row r="25" spans="1:9" s="214" customFormat="1" ht="16" x14ac:dyDescent="0.2">
      <c r="B25" s="215"/>
      <c r="C25" s="216"/>
      <c r="D25" s="216"/>
      <c r="E25" s="216"/>
    </row>
    <row r="26" spans="1:9" ht="16" x14ac:dyDescent="0.2">
      <c r="A26" s="662" t="s">
        <v>97</v>
      </c>
      <c r="B26" s="663"/>
      <c r="C26" s="152"/>
      <c r="D26" s="152"/>
      <c r="E26" s="152"/>
    </row>
    <row r="28" spans="1:9" x14ac:dyDescent="0.15">
      <c r="A28" s="657" t="s">
        <v>98</v>
      </c>
      <c r="B28" s="658"/>
    </row>
    <row r="29" spans="1:9" x14ac:dyDescent="0.15">
      <c r="A29" s="151" t="s">
        <v>84</v>
      </c>
    </row>
    <row r="30" spans="1:9" x14ac:dyDescent="0.15">
      <c r="A30" s="151" t="s">
        <v>90</v>
      </c>
      <c r="B30" s="151" t="s">
        <v>99</v>
      </c>
    </row>
    <row r="31" spans="1:9" x14ac:dyDescent="0.15">
      <c r="A31" s="151" t="s">
        <v>91</v>
      </c>
    </row>
    <row r="32" spans="1:9" x14ac:dyDescent="0.15">
      <c r="A32" s="657" t="s">
        <v>100</v>
      </c>
      <c r="B32" s="658"/>
    </row>
    <row r="33" spans="1:3" ht="14" thickBot="1" x14ac:dyDescent="0.2">
      <c r="A33" s="217"/>
      <c r="B33" s="209"/>
    </row>
    <row r="34" spans="1:3" ht="14" x14ac:dyDescent="0.15">
      <c r="A34" s="194" t="s">
        <v>93</v>
      </c>
      <c r="B34" s="195">
        <f>SLOPE($K$5:$K$7,$I$5:$I$7)</f>
        <v>17.380352644836272</v>
      </c>
    </row>
    <row r="35" spans="1:3" ht="15" thickBot="1" x14ac:dyDescent="0.2">
      <c r="A35" s="196" t="s">
        <v>94</v>
      </c>
      <c r="B35" s="197">
        <f>INTERCEPT($K$5:$K$7,$I$5:$I$7)</f>
        <v>-4.8488664987405556</v>
      </c>
    </row>
    <row r="36" spans="1:3" ht="14" thickBot="1" x14ac:dyDescent="0.2">
      <c r="A36" s="154"/>
      <c r="B36" s="154"/>
    </row>
    <row r="37" spans="1:3" ht="14" thickBot="1" x14ac:dyDescent="0.2">
      <c r="A37" s="218" t="s">
        <v>90</v>
      </c>
      <c r="B37" s="219" t="s">
        <v>99</v>
      </c>
      <c r="C37" s="155"/>
    </row>
    <row r="38" spans="1:3" x14ac:dyDescent="0.15">
      <c r="A38" s="220">
        <f>B18</f>
        <v>0.46307721387768436</v>
      </c>
      <c r="B38" s="221">
        <f>$B$34*A38+$B$35</f>
        <v>3.1995787802418683</v>
      </c>
      <c r="C38" s="155"/>
    </row>
    <row r="39" spans="1:3" x14ac:dyDescent="0.15">
      <c r="A39" s="222">
        <f>B19</f>
        <v>0.49833546720563732</v>
      </c>
      <c r="B39" s="223">
        <f>$B$34*A39+$B$35</f>
        <v>3.812379656722662</v>
      </c>
      <c r="C39" s="155"/>
    </row>
    <row r="40" spans="1:3" x14ac:dyDescent="0.15">
      <c r="A40" s="222">
        <f>B20</f>
        <v>0.54265673461938779</v>
      </c>
      <c r="B40" s="223">
        <f>$B$34*A40+$B$35</f>
        <v>4.5826989140397352</v>
      </c>
      <c r="C40" s="155"/>
    </row>
    <row r="41" spans="1:3" x14ac:dyDescent="0.15">
      <c r="A41" s="222">
        <f>B21</f>
        <v>0.60237449303814783</v>
      </c>
      <c r="B41" s="223">
        <f>$B$34*A41+$B$35</f>
        <v>5.620614614516926</v>
      </c>
      <c r="C41" s="155"/>
    </row>
    <row r="42" spans="1:3" ht="14" thickBot="1" x14ac:dyDescent="0.2">
      <c r="A42" s="224">
        <f>B22</f>
        <v>0.69426605150292842</v>
      </c>
      <c r="B42" s="143">
        <f>$B$34*A42+$B$35</f>
        <v>7.2177223057184019</v>
      </c>
      <c r="C42" s="155"/>
    </row>
    <row r="43" spans="1:3" s="214" customFormat="1" ht="16" x14ac:dyDescent="0.2">
      <c r="A43" s="225"/>
      <c r="B43" s="226"/>
    </row>
    <row r="44" spans="1:3" ht="16" x14ac:dyDescent="0.2">
      <c r="A44" s="662" t="s">
        <v>101</v>
      </c>
      <c r="B44" s="663"/>
    </row>
    <row r="46" spans="1:3" x14ac:dyDescent="0.15">
      <c r="A46" s="657" t="s">
        <v>102</v>
      </c>
      <c r="B46" s="658"/>
    </row>
    <row r="48" spans="1:3" x14ac:dyDescent="0.15">
      <c r="A48" s="151" t="s">
        <v>84</v>
      </c>
    </row>
    <row r="49" spans="1:14" x14ac:dyDescent="0.15">
      <c r="A49" s="151" t="s">
        <v>103</v>
      </c>
      <c r="B49" s="151" t="s">
        <v>99</v>
      </c>
    </row>
    <row r="50" spans="1:14" x14ac:dyDescent="0.15">
      <c r="A50" s="151" t="s">
        <v>91</v>
      </c>
    </row>
    <row r="51" spans="1:14" x14ac:dyDescent="0.15">
      <c r="A51" s="657" t="s">
        <v>104</v>
      </c>
      <c r="B51" s="658"/>
    </row>
    <row r="52" spans="1:14" ht="14" thickBot="1" x14ac:dyDescent="0.2"/>
    <row r="53" spans="1:14" ht="14" x14ac:dyDescent="0.15">
      <c r="A53" s="194" t="s">
        <v>93</v>
      </c>
      <c r="B53" s="195">
        <f>SLOPE($K$5:$K$7,$P$5:$P$7)</f>
        <v>2287.4392442478347</v>
      </c>
    </row>
    <row r="54" spans="1:14" ht="15" thickBot="1" x14ac:dyDescent="0.2">
      <c r="A54" s="196" t="s">
        <v>94</v>
      </c>
      <c r="B54" s="197">
        <f>INTERCEPT($K$5:$K$7,$P$5:$P$7)</f>
        <v>-1.1954138473279539</v>
      </c>
    </row>
    <row r="55" spans="1:14" ht="14" thickBot="1" x14ac:dyDescent="0.2">
      <c r="A55" s="154"/>
      <c r="B55" s="154"/>
    </row>
    <row r="56" spans="1:14" ht="14" thickBot="1" x14ac:dyDescent="0.2">
      <c r="A56" s="218" t="s">
        <v>105</v>
      </c>
      <c r="B56" s="219" t="s">
        <v>99</v>
      </c>
      <c r="C56" s="155"/>
      <c r="N56" s="227"/>
    </row>
    <row r="57" spans="1:14" x14ac:dyDescent="0.15">
      <c r="A57" s="228">
        <f>$B$53/(B57-$B$54)</f>
        <v>520.46486492348379</v>
      </c>
      <c r="B57" s="221">
        <f>B38</f>
        <v>3.1995787802418683</v>
      </c>
      <c r="C57" s="155"/>
      <c r="N57" s="227"/>
    </row>
    <row r="58" spans="1:14" x14ac:dyDescent="0.15">
      <c r="A58" s="229">
        <f>$B$53/(B58-$B$54)</f>
        <v>456.77587192794812</v>
      </c>
      <c r="B58" s="223">
        <f>B39</f>
        <v>3.812379656722662</v>
      </c>
      <c r="C58" s="155"/>
      <c r="N58" s="227"/>
    </row>
    <row r="59" spans="1:14" ht="16" x14ac:dyDescent="0.15">
      <c r="A59" s="229">
        <f>$B$53/(B59-$B$54)</f>
        <v>395.87999381763433</v>
      </c>
      <c r="B59" s="223">
        <f>B40</f>
        <v>4.5826989140397352</v>
      </c>
      <c r="C59" s="155"/>
      <c r="F59" s="230"/>
      <c r="G59" s="230"/>
      <c r="N59" s="227"/>
    </row>
    <row r="60" spans="1:14" ht="16" x14ac:dyDescent="0.15">
      <c r="A60" s="229">
        <f>$B$53/(B60-$B$54)</f>
        <v>335.59707930396439</v>
      </c>
      <c r="B60" s="223">
        <f>B41</f>
        <v>5.620614614516926</v>
      </c>
      <c r="C60" s="155"/>
      <c r="F60" s="230"/>
      <c r="G60" s="230"/>
      <c r="N60" s="227"/>
    </row>
    <row r="61" spans="1:14" ht="17" thickBot="1" x14ac:dyDescent="0.2">
      <c r="A61" s="231">
        <f>$B$53/(B61-$B$54)</f>
        <v>271.88900816963053</v>
      </c>
      <c r="B61" s="143">
        <f>B42</f>
        <v>7.2177223057184019</v>
      </c>
      <c r="C61" s="155"/>
      <c r="F61" s="230"/>
      <c r="G61" s="230"/>
      <c r="N61" s="227"/>
    </row>
    <row r="62" spans="1:14" x14ac:dyDescent="0.15">
      <c r="A62" s="232"/>
      <c r="B62" s="232"/>
      <c r="N62" s="227"/>
    </row>
    <row r="63" spans="1:14" s="214" customFormat="1" x14ac:dyDescent="0.15">
      <c r="A63" s="233"/>
      <c r="B63" s="233"/>
      <c r="N63" s="233"/>
    </row>
    <row r="64" spans="1:14" x14ac:dyDescent="0.15">
      <c r="A64" s="210"/>
      <c r="B64" s="227"/>
      <c r="N64" s="227"/>
    </row>
    <row r="65" spans="1:14" x14ac:dyDescent="0.15">
      <c r="A65" s="210"/>
      <c r="B65" s="227"/>
      <c r="N65" s="227"/>
    </row>
    <row r="66" spans="1:14" ht="16" x14ac:dyDescent="0.2">
      <c r="A66" s="234"/>
      <c r="B66" s="227"/>
      <c r="N66" s="227"/>
    </row>
    <row r="67" spans="1:14" x14ac:dyDescent="0.15">
      <c r="A67" s="210"/>
      <c r="B67" s="227"/>
      <c r="N67" s="227"/>
    </row>
    <row r="68" spans="1:14" x14ac:dyDescent="0.15">
      <c r="A68" s="210"/>
      <c r="B68" s="227"/>
    </row>
  </sheetData>
  <mergeCells count="20">
    <mergeCell ref="A51:B51"/>
    <mergeCell ref="A12:B12"/>
    <mergeCell ref="A26:B26"/>
    <mergeCell ref="A28:B28"/>
    <mergeCell ref="A32:B32"/>
    <mergeCell ref="A44:B44"/>
    <mergeCell ref="A46:B46"/>
    <mergeCell ref="A11:B11"/>
    <mergeCell ref="A2:P2"/>
    <mergeCell ref="A3:B3"/>
    <mergeCell ref="D4:E4"/>
    <mergeCell ref="F4:G4"/>
    <mergeCell ref="H4:I4"/>
    <mergeCell ref="J4:K4"/>
    <mergeCell ref="L4:M4"/>
    <mergeCell ref="A5:B5"/>
    <mergeCell ref="A6:B6"/>
    <mergeCell ref="A7:B7"/>
    <mergeCell ref="A8:B8"/>
    <mergeCell ref="A9:B9"/>
  </mergeCells>
  <pageMargins left="0.511811024" right="0.511811024" top="0.78740157499999996" bottom="0.78740157499999996" header="0.31496062000000002" footer="0.31496062000000002"/>
  <pageSetup paperSize="9" scale="53" orientation="portrait" horizontalDpi="4294967293" verticalDpi="4294967293" r:id="rId1"/>
  <headerFooter>
    <oddFooter>&amp;C&amp;1#&amp;"Calibri"&amp;10&amp;KFF0000This content is Confidential.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2580-254A-43B5-8E6B-2A1E9F5F29C2}">
  <sheetPr codeName="Planilha8">
    <tabColor theme="8" tint="0.39997558519241921"/>
  </sheetPr>
  <dimension ref="A1:O25"/>
  <sheetViews>
    <sheetView zoomScale="80" zoomScaleNormal="80" workbookViewId="0">
      <selection activeCell="AD7" sqref="AD7"/>
    </sheetView>
  </sheetViews>
  <sheetFormatPr baseColWidth="10" defaultColWidth="8.83203125" defaultRowHeight="13" x14ac:dyDescent="0.15"/>
  <cols>
    <col min="1" max="12" width="10.6640625" customWidth="1"/>
    <col min="13" max="13" width="20.6640625" customWidth="1"/>
    <col min="14" max="14" width="8.6640625" customWidth="1"/>
    <col min="15" max="15" width="10.6640625" customWidth="1"/>
  </cols>
  <sheetData>
    <row r="1" spans="1:15" ht="37.5" customHeight="1" thickBot="1" x14ac:dyDescent="0.2"/>
    <row r="2" spans="1:15" ht="21" thickBot="1" x14ac:dyDescent="0.2">
      <c r="A2" s="672" t="s">
        <v>106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4"/>
    </row>
    <row r="3" spans="1:15" ht="15" thickBot="1" x14ac:dyDescent="0.2">
      <c r="A3" s="679" t="s">
        <v>96</v>
      </c>
      <c r="B3" s="681" t="s">
        <v>54</v>
      </c>
      <c r="C3" s="683" t="s">
        <v>10</v>
      </c>
      <c r="D3" s="375" t="s">
        <v>12</v>
      </c>
      <c r="E3" s="376" t="s">
        <v>16</v>
      </c>
      <c r="F3" s="381" t="s">
        <v>15</v>
      </c>
      <c r="G3" s="381" t="s">
        <v>38</v>
      </c>
      <c r="H3" s="377" t="s">
        <v>14</v>
      </c>
      <c r="I3" s="383" t="s">
        <v>13</v>
      </c>
      <c r="J3" s="383" t="s">
        <v>127</v>
      </c>
      <c r="K3" s="377" t="s">
        <v>162</v>
      </c>
      <c r="L3" s="378" t="s">
        <v>161</v>
      </c>
      <c r="N3" s="430"/>
      <c r="O3" s="430"/>
    </row>
    <row r="4" spans="1:15" ht="15" thickBot="1" x14ac:dyDescent="0.2">
      <c r="A4" s="680"/>
      <c r="B4" s="682"/>
      <c r="C4" s="684"/>
      <c r="D4" s="379" t="s">
        <v>160</v>
      </c>
      <c r="E4" s="374" t="s">
        <v>160</v>
      </c>
      <c r="F4" s="374" t="s">
        <v>160</v>
      </c>
      <c r="G4" s="374" t="s">
        <v>160</v>
      </c>
      <c r="H4" s="374" t="s">
        <v>160</v>
      </c>
      <c r="I4" s="374" t="s">
        <v>160</v>
      </c>
      <c r="J4" s="374" t="s">
        <v>160</v>
      </c>
      <c r="K4" s="374" t="s">
        <v>160</v>
      </c>
      <c r="L4" s="380" t="s">
        <v>160</v>
      </c>
    </row>
    <row r="5" spans="1:15" x14ac:dyDescent="0.15">
      <c r="A5" s="348">
        <v>25</v>
      </c>
      <c r="B5" s="369">
        <f>((LOG(A5)-'Curvas dosagem (3t)'!$B$15)/'Curvas dosagem (3t)'!$B$14)</f>
        <v>0.60580381343392509</v>
      </c>
      <c r="C5" s="370">
        <f>'Curvas dosagem (3t)'!$B$34*B5+'Curvas dosagem (3t)'!$B$35</f>
        <v>5.6802174123276643</v>
      </c>
      <c r="D5" s="371">
        <f>'Curvas dosagem (3t)'!$B$53/(C5-'Curvas dosagem (3t)'!$B$54)</f>
        <v>332.68788826269986</v>
      </c>
      <c r="E5" s="372">
        <f>IFERROR(INDEX(Empacotamento!$U$7:$Z$7,1,MATCH(E$3,Empacotamento!$U2:$Z$2,0))*(('3 traços'!$M$3/100*(1+$C5))-1)*$D5,"")</f>
        <v>127.89132631338366</v>
      </c>
      <c r="F5" s="372">
        <f>IFERROR(INDEX(Empacotamento!$U$7:$Z$7,1,MATCH(F$3,Empacotamento!$U2:$Z$2,0))*(('3 traços'!$M$3/100*(1+$C5))-1)*$D5,"")</f>
        <v>402.85767788715845</v>
      </c>
      <c r="G5" s="372">
        <f>IFERROR(INDEX(Empacotamento!$U$7:$Z$7,1,MATCH(G$3,Empacotamento!$U2:$Z$2,0))*(('3 traços'!$M$3/100*(1+$C5))-1)*$D5,"")</f>
        <v>336.67391651998241</v>
      </c>
      <c r="H5" s="382">
        <f>IFERROR(INDEX(Empacotamento!$U$7:$Z$7,1,MATCH(H$3,Empacotamento!$U2:$Z$2,0))*(($C5*$D5)-SUM($E5:$G5)),"")</f>
        <v>817.85329204782681</v>
      </c>
      <c r="I5" s="382">
        <f>IFERROR(INDEX(Empacotamento!$U$7:$Z$7,1,MATCH(I$3,Empacotamento!$U2:$Z$2,0))*(($C5*$D5)-SUM($E5:$G5)),"")</f>
        <v>61.338996903587002</v>
      </c>
      <c r="J5" s="382">
        <f>IFERROR(INDEX(Empacotamento!$U$7:$Z$7,1,MATCH(J$3,Empacotamento!$U2:$Z$2,0))*(($C5*$D5)-SUM($E5:$G5)),"")</f>
        <v>143.12432610836984</v>
      </c>
      <c r="K5" s="232">
        <f t="shared" ref="K5:K10" si="0">D5*$E$13/100</f>
        <v>1.3307515530507996</v>
      </c>
      <c r="L5" s="373">
        <f t="shared" ref="L5:L10" si="1">B5*D5</f>
        <v>201.54359139282315</v>
      </c>
    </row>
    <row r="6" spans="1:15" x14ac:dyDescent="0.15">
      <c r="A6" s="349">
        <v>30</v>
      </c>
      <c r="B6" s="229">
        <f>((LOG(A6)-'Curvas dosagem (3t)'!$B$15)/'Curvas dosagem (3t)'!$B$14)</f>
        <v>0.5742302740266565</v>
      </c>
      <c r="C6" s="223">
        <f>'Curvas dosagem (3t)'!$B$34*B6+'Curvas dosagem (3t)'!$B$35</f>
        <v>5.1314581631837015</v>
      </c>
      <c r="D6" s="239">
        <f>'Curvas dosagem (3t)'!$B$53/(C6-'Curvas dosagem (3t)'!$B$54)</f>
        <v>361.54346736387498</v>
      </c>
      <c r="E6" s="240">
        <f>IFERROR(INDEX(Empacotamento!$U$7:$Z$7,1,MATCH(E$3,Empacotamento!$U2:$Z$2,0))*(('3 traços'!$M$3/100*(1+$C6))-1)*$D6,"")</f>
        <v>123.18796912136673</v>
      </c>
      <c r="F6" s="240">
        <f>IFERROR(INDEX(Empacotamento!$U$7:$Z$7,1,MATCH(F$3,Empacotamento!$U2:$Z$2,0))*(('3 traços'!$M$3/100*(1+$C6))-1)*$D6,"")</f>
        <v>388.04210273230512</v>
      </c>
      <c r="G6" s="240">
        <f>IFERROR(INDEX(Empacotamento!$U$7:$Z$7,1,MATCH(G$3,Empacotamento!$U2:$Z$2,0))*(('3 traços'!$M$3/100*(1+$C6))-1)*$D6,"")</f>
        <v>324.29232871199787</v>
      </c>
      <c r="H6" s="240">
        <f>IFERROR(INDEX(Empacotamento!$U$7:$Z$7,1,MATCH(H$3,Empacotamento!$U$2:$Z$2,0))*(($C6*$D6)-SUM($E6:$G6)),"")</f>
        <v>815.7782211075413</v>
      </c>
      <c r="I6" s="240">
        <f>IFERROR(INDEX(Empacotamento!$U$7:$Z$7,1,MATCH(I$3,Empacotamento!$U$2:$Z$2,0))*(($C6*$D6)-SUM($E6:$G6)),"")</f>
        <v>61.183366583065592</v>
      </c>
      <c r="J6" s="240">
        <f>IFERROR(INDEX(Empacotamento!$U$7:$Z$7,1,MATCH(J$3,Empacotamento!$U$2:$Z$2,0))*(($C6*$D6)-SUM($E6:$G6)),"")</f>
        <v>142.76118869381986</v>
      </c>
      <c r="K6" s="227">
        <f t="shared" si="0"/>
        <v>1.4461738694555002</v>
      </c>
      <c r="L6" s="241">
        <f t="shared" si="1"/>
        <v>207.60920433690546</v>
      </c>
    </row>
    <row r="7" spans="1:15" x14ac:dyDescent="0.15">
      <c r="A7" s="349">
        <v>35</v>
      </c>
      <c r="B7" s="229">
        <f>((LOG(A7)-'Curvas dosagem (3t)'!$B$15)/'Curvas dosagem (3t)'!$B$14)</f>
        <v>0.5475352268267053</v>
      </c>
      <c r="C7" s="223">
        <f>'Curvas dosagem (3t)'!$B$34*B7+'Curvas dosagem (3t)'!$B$35</f>
        <v>4.6674888289779997</v>
      </c>
      <c r="D7" s="239">
        <f>'Curvas dosagem (3t)'!$B$53/(C7-'Curvas dosagem (3t)'!$B$54)</f>
        <v>390.15473572368501</v>
      </c>
      <c r="E7" s="240">
        <f>IFERROR(INDEX(Empacotamento!$U$7:$Z$7,1,MATCH(E$3,Empacotamento!$U2:$Z$2,0))*(('3 traços'!$M$3/100*(1+$C7))-1)*$D7,"")</f>
        <v>118.52443371488586</v>
      </c>
      <c r="F7" s="240">
        <f>IFERROR(INDEX(Empacotamento!$U$7:$Z$7,1,MATCH(F$3,Empacotamento!$U2:$Z$2,0))*(('3 traços'!$M$3/100*(1+$C7))-1)*$D7,"")</f>
        <v>373.35196620189043</v>
      </c>
      <c r="G7" s="240">
        <f>IFERROR(INDEX(Empacotamento!$U$7:$Z$7,1,MATCH(G$3,Empacotamento!$U2:$Z$2,0))*(('3 traços'!$M$3/100*(1+$C7))-1)*$D7,"")</f>
        <v>312.01557175443702</v>
      </c>
      <c r="H7" s="240">
        <f>IFERROR(INDEX(Empacotamento!$U$7:$Z$7,1,MATCH(H$3,Empacotamento!$U$2:$Z$2,0))*(($C7*$D7)-SUM($E7:$G7)),"")</f>
        <v>813.72071911356011</v>
      </c>
      <c r="I7" s="240">
        <f>IFERROR(INDEX(Empacotamento!$U$7:$Z$7,1,MATCH(I$3,Empacotamento!$U$2:$Z$2,0))*(($C7*$D7)-SUM($E7:$G7)),"")</f>
        <v>61.029053933516998</v>
      </c>
      <c r="J7" s="240">
        <f>IFERROR(INDEX(Empacotamento!$U$7:$Z$7,1,MATCH(J$3,Empacotamento!$U$2:$Z$2,0))*(($C7*$D7)-SUM($E7:$G7)),"")</f>
        <v>142.40112584487315</v>
      </c>
      <c r="K7" s="227">
        <f t="shared" si="0"/>
        <v>1.5606189428947403</v>
      </c>
      <c r="L7" s="241">
        <f t="shared" si="1"/>
        <v>213.62346172198113</v>
      </c>
    </row>
    <row r="8" spans="1:15" x14ac:dyDescent="0.15">
      <c r="A8" s="349">
        <v>40</v>
      </c>
      <c r="B8" s="229">
        <f>((LOG(A8)-'Curvas dosagem (3t)'!$B$15)/'Curvas dosagem (3t)'!$B$14)</f>
        <v>0.52441092511891285</v>
      </c>
      <c r="C8" s="223">
        <f>'Curvas dosagem (3t)'!$B$34*B8+'Curvas dosagem (3t)'!$B$35</f>
        <v>4.2655803106309769</v>
      </c>
      <c r="D8" s="239">
        <f>'Curvas dosagem (3t)'!$B$53/(C8-'Curvas dosagem (3t)'!$B$54)</f>
        <v>418.86864883641897</v>
      </c>
      <c r="E8" s="240">
        <f>IFERROR(INDEX(Empacotamento!$U$7:$Z$7,1,MATCH(E$3,Empacotamento!$U2:$Z$2,0))*(('3 traços'!$M$3/100*(1+$C8))-1)*$D8,"")</f>
        <v>113.84416757722836</v>
      </c>
      <c r="F8" s="240">
        <f>IFERROR(INDEX(Empacotamento!$U$7:$Z$7,1,MATCH(F$3,Empacotamento!$U2:$Z$2,0))*(('3 traços'!$M$3/100*(1+$C8))-1)*$D8,"")</f>
        <v>358.60912786826935</v>
      </c>
      <c r="G8" s="240">
        <f>IFERROR(INDEX(Empacotamento!$U$7:$Z$7,1,MATCH(G$3,Empacotamento!$U2:$Z$2,0))*(('3 traços'!$M$3/100*(1+$C8))-1)*$D8,"")</f>
        <v>299.69477114705364</v>
      </c>
      <c r="H8" s="240">
        <f>IFERROR(INDEX(Empacotamento!$U$7:$Z$7,1,MATCH(H$3,Empacotamento!$U$2:$Z$2,0))*(($C8*$D8)-SUM($E8:$G8)),"")</f>
        <v>811.65583569974262</v>
      </c>
      <c r="I8" s="240">
        <f>IFERROR(INDEX(Empacotamento!$U$7:$Z$7,1,MATCH(I$3,Empacotamento!$U$2:$Z$2,0))*(($C8*$D8)-SUM($E8:$G8)),"")</f>
        <v>60.874187677480684</v>
      </c>
      <c r="J8" s="240">
        <f>IFERROR(INDEX(Empacotamento!$U$7:$Z$7,1,MATCH(J$3,Empacotamento!$U$2:$Z$2,0))*(($C8*$D8)-SUM($E8:$G8)),"")</f>
        <v>142.03977124745509</v>
      </c>
      <c r="K8" s="227">
        <f t="shared" si="0"/>
        <v>1.675474595345676</v>
      </c>
      <c r="L8" s="241">
        <f t="shared" si="1"/>
        <v>219.65929563961552</v>
      </c>
    </row>
    <row r="9" spans="1:15" x14ac:dyDescent="0.15">
      <c r="A9" s="349">
        <v>45</v>
      </c>
      <c r="B9" s="229">
        <f>((LOG(A9)-'Curvas dosagem (3t)'!$B$15)/'Curvas dosagem (3t)'!$B$14)</f>
        <v>0.50401384545812811</v>
      </c>
      <c r="C9" s="223">
        <f>'Curvas dosagem (3t)'!$B$34*B9+'Curvas dosagem (3t)'!$B$35</f>
        <v>3.9110718732017205</v>
      </c>
      <c r="D9" s="239">
        <f>'Curvas dosagem (3t)'!$B$53/(C9-'Curvas dosagem (3t)'!$B$54)</f>
        <v>447.9478391668876</v>
      </c>
      <c r="E9" s="240">
        <f>IFERROR(INDEX(Empacotamento!$U$7:$Z$7,1,MATCH(E$3,Empacotamento!$U2:$Z$2,0))*(('3 traços'!$M$3/100*(1+$C9))-1)*$D9,"")</f>
        <v>109.10436254682888</v>
      </c>
      <c r="F9" s="240">
        <f>IFERROR(INDEX(Empacotamento!$U$7:$Z$7,1,MATCH(F$3,Empacotamento!$U2:$Z$2,0))*(('3 traços'!$M$3/100*(1+$C9))-1)*$D9,"")</f>
        <v>343.67874202251096</v>
      </c>
      <c r="G9" s="240">
        <f>IFERROR(INDEX(Empacotamento!$U$7:$Z$7,1,MATCH(G$3,Empacotamento!$U2:$Z$2,0))*(('3 traços'!$M$3/100*(1+$C9))-1)*$D9,"")</f>
        <v>287.21723440452701</v>
      </c>
      <c r="H9" s="240">
        <f>IFERROR(INDEX(Empacotamento!$U$7:$Z$7,1,MATCH(H$3,Empacotamento!$U$2:$Z$2,0))*(($C9*$D9)-SUM($E9:$G9)),"")</f>
        <v>809.56468436258808</v>
      </c>
      <c r="I9" s="240">
        <f>IFERROR(INDEX(Empacotamento!$U$7:$Z$7,1,MATCH(I$3,Empacotamento!$U$2:$Z$2,0))*(($C9*$D9)-SUM($E9:$G9)),"")</f>
        <v>60.717351327194095</v>
      </c>
      <c r="J9" s="240">
        <f>IFERROR(INDEX(Empacotamento!$U$7:$Z$7,1,MATCH(J$3,Empacotamento!$U$2:$Z$2,0))*(($C9*$D9)-SUM($E9:$G9)),"")</f>
        <v>141.67381976345305</v>
      </c>
      <c r="K9" s="227">
        <f t="shared" si="0"/>
        <v>1.7917913566675505</v>
      </c>
      <c r="L9" s="241">
        <f t="shared" si="1"/>
        <v>225.77191298316211</v>
      </c>
    </row>
    <row r="10" spans="1:15" ht="14" thickBot="1" x14ac:dyDescent="0.2">
      <c r="A10" s="350">
        <v>50</v>
      </c>
      <c r="B10" s="231">
        <f>((LOG(A10)-'Curvas dosagem (3t)'!$B$15)/'Curvas dosagem (3t)'!$B$14)</f>
        <v>0.48576803595765317</v>
      </c>
      <c r="C10" s="143">
        <f>'Curvas dosagem (3t)'!$B$34*B10+'Curvas dosagem (3t)'!$B$35</f>
        <v>3.5939532697929621</v>
      </c>
      <c r="D10" s="242">
        <f>'Curvas dosagem (3t)'!$B$53/(C10-'Curvas dosagem (3t)'!$B$54)</f>
        <v>477.60783174686088</v>
      </c>
      <c r="E10" s="243">
        <f>IFERROR(INDEX(Empacotamento!$U$7:$Z$7,1,MATCH(E$3,Empacotamento!$U2:$Z$2,0))*(('3 traços'!$M$3/100*(1+$C10))-1)*$D10,"")</f>
        <v>104.26988880686136</v>
      </c>
      <c r="F10" s="243">
        <f>IFERROR(INDEX(Empacotamento!$U$7:$Z$7,1,MATCH(F$3,Empacotamento!$U2:$Z$2,0))*(('3 traços'!$M$3/100*(1+$C10))-1)*$D10,"")</f>
        <v>328.45014974161325</v>
      </c>
      <c r="G10" s="243">
        <f>IFERROR(INDEX(Empacotamento!$U$7:$Z$7,1,MATCH(G$3,Empacotamento!$U2:$Z$2,0))*(('3 traços'!$M$3/100*(1+$C10))-1)*$D10,"")</f>
        <v>274.49048228406252</v>
      </c>
      <c r="H10" s="243">
        <f>IFERROR(INDEX(Empacotamento!$U$7:$Z$7,1,MATCH(H$3,Empacotamento!$U$2:$Z$2,0))*(($C10*$D10)-SUM($E10:$G10)),"")</f>
        <v>807.4317662022562</v>
      </c>
      <c r="I10" s="243">
        <f>IFERROR(INDEX(Empacotamento!$U$7:$Z$7,1,MATCH(I$3,Empacotamento!$U$2:$Z$2,0))*(($C10*$D10)-SUM($E10:$G10)),"")</f>
        <v>60.557382465169205</v>
      </c>
      <c r="J10" s="243">
        <f>IFERROR(INDEX(Empacotamento!$U$7:$Z$7,1,MATCH(J$3,Empacotamento!$U$2:$Z$2,0))*(($C10*$D10)-SUM($E10:$G10)),"")</f>
        <v>141.30055908539498</v>
      </c>
      <c r="K10" s="244">
        <f t="shared" si="0"/>
        <v>1.9104313269874436</v>
      </c>
      <c r="L10" s="245">
        <f t="shared" si="1"/>
        <v>232.00661838566589</v>
      </c>
    </row>
    <row r="11" spans="1:15" ht="14" thickBot="1" x14ac:dyDescent="0.2"/>
    <row r="12" spans="1:15" ht="14" thickBot="1" x14ac:dyDescent="0.2">
      <c r="A12" s="675" t="s">
        <v>107</v>
      </c>
      <c r="B12" s="676"/>
      <c r="C12" s="676"/>
      <c r="D12" s="247" t="s">
        <v>108</v>
      </c>
      <c r="E12" s="248" t="s">
        <v>109</v>
      </c>
      <c r="F12" s="429"/>
      <c r="H12" s="675" t="s">
        <v>107</v>
      </c>
      <c r="I12" s="676"/>
      <c r="J12" s="676"/>
      <c r="K12" s="247" t="s">
        <v>108</v>
      </c>
      <c r="L12" s="248" t="s">
        <v>109</v>
      </c>
    </row>
    <row r="13" spans="1:15" x14ac:dyDescent="0.15">
      <c r="A13" s="677" t="s">
        <v>115</v>
      </c>
      <c r="B13" s="678"/>
      <c r="C13" s="678"/>
      <c r="D13" s="253" t="s">
        <v>116</v>
      </c>
      <c r="E13" s="345">
        <v>0.4</v>
      </c>
      <c r="F13" s="429"/>
      <c r="H13" s="668" t="s">
        <v>166</v>
      </c>
      <c r="I13" s="669"/>
      <c r="J13" s="669"/>
      <c r="K13" s="258" t="s">
        <v>118</v>
      </c>
      <c r="L13" s="346">
        <v>3.3000000000000002E-2</v>
      </c>
    </row>
    <row r="14" spans="1:15" x14ac:dyDescent="0.15">
      <c r="A14" s="668" t="s">
        <v>117</v>
      </c>
      <c r="B14" s="669"/>
      <c r="C14" s="669"/>
      <c r="D14" s="258" t="s">
        <v>118</v>
      </c>
      <c r="E14" s="346">
        <v>0.5</v>
      </c>
      <c r="F14" s="429"/>
      <c r="H14" s="668" t="s">
        <v>167</v>
      </c>
      <c r="I14" s="669"/>
      <c r="J14" s="669"/>
      <c r="K14" s="258" t="s">
        <v>118</v>
      </c>
      <c r="L14" s="346">
        <v>3.5000000000000003E-2</v>
      </c>
    </row>
    <row r="15" spans="1:15" x14ac:dyDescent="0.15">
      <c r="A15" s="668" t="s">
        <v>163</v>
      </c>
      <c r="B15" s="669"/>
      <c r="C15" s="669"/>
      <c r="D15" s="258" t="s">
        <v>118</v>
      </c>
      <c r="E15" s="346">
        <v>2.3E-2</v>
      </c>
      <c r="F15" s="429"/>
      <c r="H15" s="668" t="s">
        <v>168</v>
      </c>
      <c r="I15" s="669"/>
      <c r="J15" s="669"/>
      <c r="K15" s="258" t="s">
        <v>118</v>
      </c>
      <c r="L15" s="346">
        <v>3.7999999999999999E-2</v>
      </c>
    </row>
    <row r="16" spans="1:15" x14ac:dyDescent="0.15">
      <c r="A16" s="668" t="s">
        <v>164</v>
      </c>
      <c r="B16" s="669"/>
      <c r="C16" s="669"/>
      <c r="D16" s="258" t="s">
        <v>118</v>
      </c>
      <c r="E16" s="346">
        <v>2.5000000000000001E-2</v>
      </c>
      <c r="F16" s="429"/>
      <c r="H16" s="668" t="s">
        <v>119</v>
      </c>
      <c r="I16" s="669"/>
      <c r="J16" s="669"/>
      <c r="K16" s="258" t="s">
        <v>118</v>
      </c>
      <c r="L16" s="346">
        <v>0</v>
      </c>
    </row>
    <row r="17" spans="1:12" ht="14" thickBot="1" x14ac:dyDescent="0.2">
      <c r="A17" s="670" t="s">
        <v>165</v>
      </c>
      <c r="B17" s="671"/>
      <c r="C17" s="671"/>
      <c r="D17" s="261" t="s">
        <v>118</v>
      </c>
      <c r="E17" s="347">
        <v>2.7E-2</v>
      </c>
      <c r="F17" s="429"/>
      <c r="H17" s="670" t="s">
        <v>120</v>
      </c>
      <c r="I17" s="671"/>
      <c r="J17" s="671"/>
      <c r="K17" s="261" t="s">
        <v>118</v>
      </c>
      <c r="L17" s="347">
        <v>10</v>
      </c>
    </row>
    <row r="18" spans="1:12" ht="14" thickBot="1" x14ac:dyDescent="0.2"/>
    <row r="19" spans="1:12" ht="43" thickBot="1" x14ac:dyDescent="0.2">
      <c r="A19" s="428" t="str">
        <f>A3</f>
        <v>fc1</v>
      </c>
      <c r="B19" s="384" t="s">
        <v>114</v>
      </c>
      <c r="C19" s="252" t="s">
        <v>113</v>
      </c>
      <c r="D19" s="249" t="s">
        <v>110</v>
      </c>
      <c r="E19" s="250" t="s">
        <v>154</v>
      </c>
      <c r="F19" s="250" t="s">
        <v>155</v>
      </c>
      <c r="G19" s="250" t="s">
        <v>156</v>
      </c>
      <c r="H19" s="250" t="s">
        <v>157</v>
      </c>
      <c r="I19" s="250" t="s">
        <v>158</v>
      </c>
      <c r="J19" s="250" t="s">
        <v>159</v>
      </c>
      <c r="K19" s="250" t="s">
        <v>111</v>
      </c>
      <c r="L19" s="251" t="s">
        <v>112</v>
      </c>
    </row>
    <row r="20" spans="1:12" x14ac:dyDescent="0.15">
      <c r="A20" s="425">
        <f>A5</f>
        <v>25</v>
      </c>
      <c r="B20" s="385">
        <f t="shared" ref="B20:B25" si="2">C20/A5</f>
        <v>9.4531738312642428</v>
      </c>
      <c r="C20" s="257">
        <f>SUM(D20:L20)</f>
        <v>236.32934578160607</v>
      </c>
      <c r="D20" s="254">
        <f t="shared" ref="D20:D25" si="3">D5*$E$14</f>
        <v>166.34394413134993</v>
      </c>
      <c r="E20" s="255">
        <f>IFERROR(E5*$E$15,"")</f>
        <v>2.941500505207824</v>
      </c>
      <c r="F20" s="255">
        <f>IFERROR(F5*$E$16,"")</f>
        <v>10.071441947178961</v>
      </c>
      <c r="G20" s="255">
        <f>IFERROR(G5*$E$17,"")</f>
        <v>9.0901957460395248</v>
      </c>
      <c r="H20" s="255">
        <f>IFERROR(H5*$L$13,"")</f>
        <v>26.989158637578285</v>
      </c>
      <c r="I20" s="255">
        <f>IFERROR(I5*$L$14,"")</f>
        <v>2.1468648916255453</v>
      </c>
      <c r="J20" s="255">
        <f>IFERROR(J5*$L$15,"")</f>
        <v>5.4387243921180541</v>
      </c>
      <c r="K20" s="255">
        <f t="shared" ref="K20:K25" si="4">K5*$L$17</f>
        <v>13.307515530507995</v>
      </c>
      <c r="L20" s="256">
        <f t="shared" ref="L20:L25" si="5">L5*$L$16</f>
        <v>0</v>
      </c>
    </row>
    <row r="21" spans="1:12" x14ac:dyDescent="0.15">
      <c r="A21" s="426">
        <f t="shared" ref="A21:A25" si="6">A6</f>
        <v>30</v>
      </c>
      <c r="B21" s="386">
        <f t="shared" si="2"/>
        <v>8.3670255135712264</v>
      </c>
      <c r="C21" s="260">
        <f t="shared" ref="C21:C25" si="7">SUM(D21:L21)</f>
        <v>251.0107654071368</v>
      </c>
      <c r="D21" s="259">
        <f t="shared" si="3"/>
        <v>180.77173368193749</v>
      </c>
      <c r="E21" s="89">
        <f t="shared" ref="E21:E25" si="8">IFERROR(E6*$E$15,"")</f>
        <v>2.8333232897914349</v>
      </c>
      <c r="F21" s="89">
        <f t="shared" ref="F21:F25" si="9">IFERROR(F6*$E$16,"")</f>
        <v>9.7010525683076292</v>
      </c>
      <c r="G21" s="89">
        <f t="shared" ref="G21:G25" si="10">IFERROR(G6*$E$17,"")</f>
        <v>8.7558928752239424</v>
      </c>
      <c r="H21" s="89">
        <f t="shared" ref="H21:H25" si="11">IFERROR(H6*$L$13,"")</f>
        <v>26.920681296548864</v>
      </c>
      <c r="I21" s="89">
        <f t="shared" ref="I21:I25" si="12">IFERROR(I6*$L$14,"")</f>
        <v>2.1414178304072959</v>
      </c>
      <c r="J21" s="89">
        <f t="shared" ref="J21" si="13">IFERROR(J6*$L$15,"")</f>
        <v>5.4249251703651549</v>
      </c>
      <c r="K21" s="89">
        <f t="shared" si="4"/>
        <v>14.461738694555002</v>
      </c>
      <c r="L21" s="90">
        <f t="shared" si="5"/>
        <v>0</v>
      </c>
    </row>
    <row r="22" spans="1:12" x14ac:dyDescent="0.15">
      <c r="A22" s="426">
        <f t="shared" si="6"/>
        <v>35</v>
      </c>
      <c r="B22" s="386">
        <f t="shared" si="2"/>
        <v>7.5876537788335749</v>
      </c>
      <c r="C22" s="260">
        <f t="shared" si="7"/>
        <v>265.56788225917512</v>
      </c>
      <c r="D22" s="259">
        <f t="shared" si="3"/>
        <v>195.0773678618425</v>
      </c>
      <c r="E22" s="89">
        <f t="shared" si="8"/>
        <v>2.7260619754423745</v>
      </c>
      <c r="F22" s="89">
        <f t="shared" si="9"/>
        <v>9.3337991550472612</v>
      </c>
      <c r="G22" s="89">
        <f t="shared" si="10"/>
        <v>8.4244204373697986</v>
      </c>
      <c r="H22" s="89">
        <f t="shared" si="11"/>
        <v>26.852783730747486</v>
      </c>
      <c r="I22" s="89">
        <f t="shared" si="12"/>
        <v>2.1360168876730952</v>
      </c>
      <c r="J22" s="89">
        <f t="shared" ref="J22" si="14">IFERROR(J7*$L$15,"")</f>
        <v>5.4112427821051794</v>
      </c>
      <c r="K22" s="89">
        <f t="shared" si="4"/>
        <v>15.606189428947403</v>
      </c>
      <c r="L22" s="90">
        <f t="shared" si="5"/>
        <v>0</v>
      </c>
    </row>
    <row r="23" spans="1:12" x14ac:dyDescent="0.15">
      <c r="A23" s="426">
        <f t="shared" si="6"/>
        <v>40</v>
      </c>
      <c r="B23" s="386">
        <f t="shared" si="2"/>
        <v>7.004430592445658</v>
      </c>
      <c r="C23" s="260">
        <f t="shared" si="7"/>
        <v>280.17722369782632</v>
      </c>
      <c r="D23" s="259">
        <f t="shared" si="3"/>
        <v>209.43432441820948</v>
      </c>
      <c r="E23" s="89">
        <f t="shared" si="8"/>
        <v>2.6184158542762521</v>
      </c>
      <c r="F23" s="89">
        <f t="shared" si="9"/>
        <v>8.9652281967067342</v>
      </c>
      <c r="G23" s="89">
        <f t="shared" si="10"/>
        <v>8.0917588209704476</v>
      </c>
      <c r="H23" s="89">
        <f t="shared" si="11"/>
        <v>26.784642578091507</v>
      </c>
      <c r="I23" s="89">
        <f t="shared" si="12"/>
        <v>2.130596568711824</v>
      </c>
      <c r="J23" s="89">
        <f t="shared" ref="J23" si="15">IFERROR(J8*$L$15,"")</f>
        <v>5.3975113074032937</v>
      </c>
      <c r="K23" s="89">
        <f t="shared" si="4"/>
        <v>16.754745953456759</v>
      </c>
      <c r="L23" s="90">
        <f t="shared" si="5"/>
        <v>0</v>
      </c>
    </row>
    <row r="24" spans="1:12" x14ac:dyDescent="0.15">
      <c r="A24" s="426">
        <f t="shared" si="6"/>
        <v>45</v>
      </c>
      <c r="B24" s="386">
        <f t="shared" si="2"/>
        <v>6.5549425422135519</v>
      </c>
      <c r="C24" s="260">
        <f t="shared" si="7"/>
        <v>294.97241439960982</v>
      </c>
      <c r="D24" s="259">
        <f t="shared" si="3"/>
        <v>223.9739195834438</v>
      </c>
      <c r="E24" s="89">
        <f t="shared" si="8"/>
        <v>2.509400338577064</v>
      </c>
      <c r="F24" s="89">
        <f t="shared" si="9"/>
        <v>8.5919685505627736</v>
      </c>
      <c r="G24" s="89">
        <f t="shared" si="10"/>
        <v>7.7548653289222287</v>
      </c>
      <c r="H24" s="89">
        <f t="shared" si="11"/>
        <v>26.715634583965407</v>
      </c>
      <c r="I24" s="89">
        <f t="shared" si="12"/>
        <v>2.1251072964517936</v>
      </c>
      <c r="J24" s="89">
        <f t="shared" ref="J24" si="16">IFERROR(J9*$L$15,"")</f>
        <v>5.3836051510112162</v>
      </c>
      <c r="K24" s="89">
        <f t="shared" si="4"/>
        <v>17.917913566675505</v>
      </c>
      <c r="L24" s="90">
        <f t="shared" si="5"/>
        <v>0</v>
      </c>
    </row>
    <row r="25" spans="1:12" ht="14" thickBot="1" x14ac:dyDescent="0.2">
      <c r="A25" s="427">
        <f t="shared" si="6"/>
        <v>50</v>
      </c>
      <c r="B25" s="387">
        <f t="shared" si="2"/>
        <v>6.2012622253454603</v>
      </c>
      <c r="C25" s="263">
        <f t="shared" si="7"/>
        <v>310.06311126727303</v>
      </c>
      <c r="D25" s="262">
        <f t="shared" si="3"/>
        <v>238.80391587343044</v>
      </c>
      <c r="E25" s="92">
        <f t="shared" si="8"/>
        <v>2.398207442557811</v>
      </c>
      <c r="F25" s="92">
        <f t="shared" si="9"/>
        <v>8.2112537435403308</v>
      </c>
      <c r="G25" s="92">
        <f t="shared" si="10"/>
        <v>7.4112430216696881</v>
      </c>
      <c r="H25" s="92">
        <f t="shared" si="11"/>
        <v>26.645248284674455</v>
      </c>
      <c r="I25" s="92">
        <f t="shared" si="12"/>
        <v>2.1195083862809225</v>
      </c>
      <c r="J25" s="92">
        <f t="shared" ref="J25" si="17">IFERROR(J10*$L$15,"")</f>
        <v>5.3694212452450092</v>
      </c>
      <c r="K25" s="92">
        <f t="shared" si="4"/>
        <v>19.104313269874435</v>
      </c>
      <c r="L25" s="93">
        <f t="shared" si="5"/>
        <v>0</v>
      </c>
    </row>
  </sheetData>
  <sheetProtection algorithmName="SHA-512" hashValue="1/Rpqb9vQuab0t1+n6MZrMo+y5fud/l1zAxRVmCjWviMCoYFYqQ4t1U2HNofeh02YXLoEgQ5HrbFc5ZovnIi4Q==" saltValue="5LuHtu+OIwfn6CHQYb1M+g==" spinCount="100000" sheet="1" objects="1" scenarios="1"/>
  <mergeCells count="16">
    <mergeCell ref="H16:J16"/>
    <mergeCell ref="H17:J17"/>
    <mergeCell ref="A2:L2"/>
    <mergeCell ref="A12:C12"/>
    <mergeCell ref="A13:C13"/>
    <mergeCell ref="A14:C14"/>
    <mergeCell ref="A17:C17"/>
    <mergeCell ref="H15:J15"/>
    <mergeCell ref="A16:C16"/>
    <mergeCell ref="A15:C15"/>
    <mergeCell ref="H14:J14"/>
    <mergeCell ref="H13:J13"/>
    <mergeCell ref="H12:J12"/>
    <mergeCell ref="A3:A4"/>
    <mergeCell ref="B3:B4"/>
    <mergeCell ref="C3:C4"/>
  </mergeCells>
  <pageMargins left="0.51181102362204722" right="0.51181102362204722" top="0.78740157480314965" bottom="0.78740157480314965" header="0.31496062992125984" footer="0.31496062992125984"/>
  <pageSetup paperSize="9" orientation="landscape" horizontalDpi="4294967293" verticalDpi="4294967293" r:id="rId1"/>
  <headerFooter>
    <oddFooter>&amp;C&amp;1#&amp;"Calibri"&amp;10&amp;KFF0000This content is Confidential.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CF0B-5E3A-4360-BF1D-904F17F5AE20}">
  <sheetPr codeName="Planilha9">
    <tabColor theme="8" tint="-0.249977111117893"/>
  </sheetPr>
  <dimension ref="A1:M57"/>
  <sheetViews>
    <sheetView zoomScale="80" zoomScaleNormal="80" workbookViewId="0">
      <selection activeCell="AD7" sqref="AD7"/>
    </sheetView>
  </sheetViews>
  <sheetFormatPr baseColWidth="10" defaultColWidth="8.83203125" defaultRowHeight="13" x14ac:dyDescent="0.15"/>
  <cols>
    <col min="1" max="1" width="9.5" customWidth="1"/>
    <col min="3" max="5" width="9.6640625" customWidth="1"/>
    <col min="6" max="6" width="11" customWidth="1"/>
    <col min="7" max="9" width="9.6640625" customWidth="1"/>
    <col min="10" max="10" width="8.83203125" customWidth="1"/>
    <col min="11" max="11" width="10" customWidth="1"/>
    <col min="13" max="13" width="8.83203125" customWidth="1"/>
  </cols>
  <sheetData>
    <row r="1" spans="1:13" ht="35.25" customHeight="1" x14ac:dyDescent="0.15"/>
    <row r="2" spans="1:13" ht="19" thickBot="1" x14ac:dyDescent="0.2">
      <c r="A2" s="621" t="s">
        <v>51</v>
      </c>
      <c r="B2" s="685"/>
      <c r="C2" s="685"/>
      <c r="D2" s="685"/>
      <c r="E2" s="685"/>
      <c r="F2" s="685"/>
      <c r="G2" s="685"/>
      <c r="H2" s="685"/>
      <c r="I2" s="685"/>
      <c r="J2" s="113"/>
      <c r="K2" s="113"/>
      <c r="L2" s="303"/>
      <c r="M2" s="303"/>
    </row>
    <row r="3" spans="1:13" ht="15.75" customHeight="1" thickBot="1" x14ac:dyDescent="0.25">
      <c r="A3" s="624" t="s">
        <v>11</v>
      </c>
      <c r="B3" s="624" t="s">
        <v>52</v>
      </c>
      <c r="C3" s="495" t="s">
        <v>11</v>
      </c>
      <c r="D3" s="496"/>
      <c r="E3" s="496"/>
      <c r="F3" s="688"/>
      <c r="G3" s="688"/>
      <c r="H3" s="688"/>
      <c r="I3" s="689"/>
    </row>
    <row r="4" spans="1:13" ht="31.5" customHeight="1" thickBot="1" x14ac:dyDescent="0.25">
      <c r="A4" s="625"/>
      <c r="B4" s="625"/>
      <c r="C4" s="114" t="s">
        <v>56</v>
      </c>
      <c r="D4" s="10" t="s">
        <v>16</v>
      </c>
      <c r="E4" s="10" t="s">
        <v>15</v>
      </c>
      <c r="F4" s="10" t="s">
        <v>38</v>
      </c>
      <c r="G4" s="10" t="s">
        <v>14</v>
      </c>
      <c r="H4" s="10" t="s">
        <v>13</v>
      </c>
      <c r="I4" s="287" t="s">
        <v>127</v>
      </c>
      <c r="K4" s="698" t="s">
        <v>62</v>
      </c>
      <c r="L4" s="647"/>
      <c r="M4" s="640">
        <v>54</v>
      </c>
    </row>
    <row r="5" spans="1:13" ht="15.75" customHeight="1" x14ac:dyDescent="0.15">
      <c r="A5" s="115" t="s">
        <v>57</v>
      </c>
      <c r="B5" s="116">
        <f>Traços!K3</f>
        <v>3</v>
      </c>
      <c r="C5" s="117" t="s">
        <v>18</v>
      </c>
      <c r="D5" s="301">
        <f>IFERROR(INDEX(Empacotamento!$U$7:$Z$7,1,MATCH(D$4,Empacotamento!$U$2:$Z$2,0))*((($M$4/100)*(1+B5))-1),"")</f>
        <v>0.17102838186509403</v>
      </c>
      <c r="E5" s="301">
        <f>IFERROR(INDEX(Empacotamento!$U$7:$Z$7,1,MATCH(E$4,Empacotamento!$U$2:$Z$2,0))*((($M$4/100)*(1+$B$5))-1),"")</f>
        <v>0.53873940287504618</v>
      </c>
      <c r="F5" s="301">
        <f>IFERROR(INDEX(Empacotamento!$U$7:$Z$7,1,MATCH($F$4,Empacotamento!$U$2:$Z$2,0))*((($M$4/100)*(1+$B$5))-1),"")</f>
        <v>0.45023221525985996</v>
      </c>
      <c r="G5" s="301">
        <f>IFERROR(INDEX(Empacotamento!$U$7:$Z$7,1,MATCH($G$4,Empacotamento!$U$2:$Z$2,0))*(B5-SUM(D5:F5)),"")</f>
        <v>1.4719999999999998</v>
      </c>
      <c r="H5" s="301">
        <f>IFERROR(INDEX(Empacotamento!$U$7:$Z$7,1,MATCH($H$4,Empacotamento!$U$2:$Z$2,0))*(B5-SUM(D5:F5)),"")</f>
        <v>0.11039999999999996</v>
      </c>
      <c r="I5" s="302">
        <f>IFERROR(INDEX(Empacotamento!$U$7:$Z$7,1,MATCH($I$4,Empacotamento!$U$2:$Z$2,0))*(B5-SUM(D5:F5)),"")</f>
        <v>0.25760000000000022</v>
      </c>
      <c r="K5" s="699"/>
      <c r="L5" s="649"/>
      <c r="M5" s="641"/>
    </row>
    <row r="6" spans="1:13" ht="15.75" customHeight="1" x14ac:dyDescent="0.15">
      <c r="A6" s="123" t="s">
        <v>58</v>
      </c>
      <c r="B6" s="124">
        <f>Traços!E3</f>
        <v>5</v>
      </c>
      <c r="C6" s="125" t="s">
        <v>18</v>
      </c>
      <c r="D6" s="297">
        <f>IFERROR(INDEX(Empacotamento!$U$7:$Z$7,1,MATCH(D$4,Empacotamento!$U$2:$Z$2,0))*((($M$4/100)*(1+B6))-1),"")</f>
        <v>0.33026170291190571</v>
      </c>
      <c r="E6" s="297">
        <f>IFERROR(INDEX(Empacotamento!$U$7:$Z$7,1,MATCH(E$4,Empacotamento!$U$2:$Z$2,0))*((($M$4/100)*(1+$B6))-1),"")</f>
        <v>1.0403243641725028</v>
      </c>
      <c r="F6" s="297">
        <f>IFERROR(INDEX(Empacotamento!$U$7:$Z$7,1,MATCH($F$4,Empacotamento!$U$2:$Z$2,0))*((($M$4/100)*(1+$B6))-1),"")</f>
        <v>0.86941393291559166</v>
      </c>
      <c r="G6" s="297">
        <f>IFERROR(INDEX(Empacotamento!$U$7:$Z$7,1,MATCH($G$4,Empacotamento!$U$2:$Z$2,0))*(B6-SUM(D6:F6)),"")</f>
        <v>2.2079999999999997</v>
      </c>
      <c r="H6" s="297">
        <f>IFERROR(INDEX(Empacotamento!$U$7:$Z$7,1,MATCH($H$4,Empacotamento!$U$2:$Z$2,0))*(B6-SUM(D6:F6)),"")</f>
        <v>0.16559999999999994</v>
      </c>
      <c r="I6" s="298">
        <f>IFERROR(INDEX(Empacotamento!$U$7:$Z$7,1,MATCH($I$4,Empacotamento!$U$2:$Z$2,0))*(B6-SUM(D6:F6)),"")</f>
        <v>0.3864000000000003</v>
      </c>
      <c r="K6" s="650" t="s">
        <v>65</v>
      </c>
      <c r="L6" s="649"/>
      <c r="M6" s="641">
        <v>0.4</v>
      </c>
    </row>
    <row r="7" spans="1:13" ht="15.75" customHeight="1" thickBot="1" x14ac:dyDescent="0.2">
      <c r="A7" s="123" t="s">
        <v>121</v>
      </c>
      <c r="B7" s="124">
        <f>Traços!Q3</f>
        <v>6</v>
      </c>
      <c r="C7" s="125">
        <v>1</v>
      </c>
      <c r="D7" s="297">
        <f>IFERROR(INDEX(Empacotamento!$U$7:$Z$7,1,MATCH(D$4,Empacotamento!$U$2:$Z$2,0))*((($M$4/100)*(1+B7))-1),"")</f>
        <v>0.40987836343531153</v>
      </c>
      <c r="E7" s="297">
        <f>IFERROR(INDEX(Empacotamento!$U$7:$Z$7,1,MATCH(E$4,Empacotamento!$U$2:$Z$2,0))*((($M$4/100)*(1+$B7))-1),"")</f>
        <v>1.2911168448212313</v>
      </c>
      <c r="F7" s="297">
        <f>IFERROR(INDEX(Empacotamento!$U$7:$Z$7,1,MATCH($F$4,Empacotamento!$U$2:$Z$2,0))*((($M$4/100)*(1+$B7))-1),"")</f>
        <v>1.0790047917434575</v>
      </c>
      <c r="G7" s="297">
        <f>IFERROR(INDEX(Empacotamento!$U$7:$Z$7,1,MATCH($G$4,Empacotamento!$U$2:$Z$2,0))*(B7-SUM(D7:F7)),"")</f>
        <v>2.5759999999999996</v>
      </c>
      <c r="H7" s="297">
        <f>IFERROR(INDEX(Empacotamento!$U$7:$Z$7,1,MATCH($H$4,Empacotamento!$U$2:$Z$2,0))*(B7-SUM(D7:F7)),"")</f>
        <v>0.19319999999999993</v>
      </c>
      <c r="I7" s="298">
        <f>IFERROR(INDEX(Empacotamento!$U$7:$Z$7,1,MATCH($I$4,Empacotamento!$U$2:$Z$2,0))*(B7-SUM(D7:F7)),"")</f>
        <v>0.45080000000000037</v>
      </c>
      <c r="K7" s="651"/>
      <c r="L7" s="652"/>
      <c r="M7" s="645"/>
    </row>
    <row r="8" spans="1:13" ht="15.75" customHeight="1" thickBot="1" x14ac:dyDescent="0.2">
      <c r="A8" s="131" t="s">
        <v>59</v>
      </c>
      <c r="B8" s="132">
        <f>Traços!W3</f>
        <v>7</v>
      </c>
      <c r="C8" s="133" t="s">
        <v>18</v>
      </c>
      <c r="D8" s="299">
        <f>IFERROR(INDEX(Empacotamento!$U$7:$Z$7,1,MATCH(D$4,Empacotamento!$U$2:$Z$2,0))*((($M$4/100)*(1+B8))-1),"")</f>
        <v>0.48949502395871741</v>
      </c>
      <c r="E8" s="299">
        <f>IFERROR(INDEX(Empacotamento!$U$7:$Z$7,1,MATCH(E$4,Empacotamento!$U$2:$Z$2,0))*((($M$4/100)*(1+$B8))-1),"")</f>
        <v>1.5419093254699596</v>
      </c>
      <c r="F8" s="299">
        <f>IFERROR(INDEX(Empacotamento!$U$7:$Z$7,1,MATCH($F$4,Empacotamento!$U$2:$Z$2,0))*((($M$4/100)*(1+$B8))-1),"")</f>
        <v>1.2885956505713234</v>
      </c>
      <c r="G8" s="299">
        <f>IFERROR(INDEX(Empacotamento!$U$7:$Z$7,1,MATCH($G$4,Empacotamento!$U$2:$Z$2,0))*(B8-SUM(D8:F8)),"")</f>
        <v>2.9439999999999995</v>
      </c>
      <c r="H8" s="299">
        <f>IFERROR(INDEX(Empacotamento!$U$7:$Z$7,1,MATCH($H$4,Empacotamento!$U$2:$Z$2,0))*(B8-SUM(D8:F8)),"")</f>
        <v>0.22079999999999991</v>
      </c>
      <c r="I8" s="300">
        <f>IFERROR(INDEX(Empacotamento!$U$7:$Z$7,1,MATCH($I$4,Empacotamento!$U$2:$Z$2,0))*(B8-SUM(D8:F8)),"")</f>
        <v>0.51520000000000044</v>
      </c>
    </row>
    <row r="9" spans="1:13" ht="5" customHeight="1" thickBot="1" x14ac:dyDescent="0.2"/>
    <row r="10" spans="1:13" ht="15.75" customHeight="1" x14ac:dyDescent="0.15">
      <c r="A10" s="624" t="s">
        <v>11</v>
      </c>
      <c r="B10" s="700" t="s">
        <v>139</v>
      </c>
      <c r="C10" s="690" t="s">
        <v>135</v>
      </c>
      <c r="D10" s="630" t="s">
        <v>136</v>
      </c>
      <c r="E10" s="630" t="s">
        <v>137</v>
      </c>
      <c r="F10" s="630" t="s">
        <v>138</v>
      </c>
      <c r="G10" s="630" t="s">
        <v>141</v>
      </c>
      <c r="H10" s="630" t="s">
        <v>142</v>
      </c>
      <c r="I10" s="630" t="s">
        <v>140</v>
      </c>
      <c r="J10" s="694" t="s">
        <v>143</v>
      </c>
      <c r="K10" s="696" t="s">
        <v>144</v>
      </c>
      <c r="L10" s="686" t="s">
        <v>54</v>
      </c>
      <c r="M10" s="692" t="s">
        <v>55</v>
      </c>
    </row>
    <row r="11" spans="1:13" ht="15.75" customHeight="1" thickBot="1" x14ac:dyDescent="0.2">
      <c r="A11" s="625"/>
      <c r="B11" s="701"/>
      <c r="C11" s="691"/>
      <c r="D11" s="631"/>
      <c r="E11" s="631"/>
      <c r="F11" s="631"/>
      <c r="G11" s="631"/>
      <c r="H11" s="631"/>
      <c r="I11" s="631"/>
      <c r="J11" s="695"/>
      <c r="K11" s="697"/>
      <c r="L11" s="687"/>
      <c r="M11" s="693"/>
    </row>
    <row r="12" spans="1:13" ht="15.75" customHeight="1" x14ac:dyDescent="0.15">
      <c r="A12" s="304" t="s">
        <v>57</v>
      </c>
      <c r="B12" s="307">
        <f>G18</f>
        <v>2419.2264841636152</v>
      </c>
      <c r="C12" s="119">
        <f>B12/(1+B5+L12)</f>
        <v>543.64640093564378</v>
      </c>
      <c r="D12" s="120">
        <f>IFERROR(C12*D5,"")</f>
        <v>92.978964258805291</v>
      </c>
      <c r="E12" s="120">
        <f>IFERROR(C12*E5,"")</f>
        <v>292.88373741523668</v>
      </c>
      <c r="F12" s="120">
        <f>IFERROR(C12*F5,"")</f>
        <v>244.76712341130491</v>
      </c>
      <c r="G12" s="120">
        <f>IFERROR(C12*G5,"")</f>
        <v>800.24750217726751</v>
      </c>
      <c r="H12" s="120">
        <f>IFERROR(C12*H5,"")</f>
        <v>60.01856266329505</v>
      </c>
      <c r="I12" s="120">
        <f>IFERROR(C12*I5,"")</f>
        <v>140.04331288102196</v>
      </c>
      <c r="J12" s="120">
        <f>L12*C12</f>
        <v>244.6408804210397</v>
      </c>
      <c r="K12" s="121">
        <f>C12*$M$6/100</f>
        <v>2.1745856037425755</v>
      </c>
      <c r="L12" s="334">
        <v>0.45</v>
      </c>
      <c r="M12" s="122">
        <f>(L12*100)/(1+B5)</f>
        <v>11.25</v>
      </c>
    </row>
    <row r="13" spans="1:13" ht="15.75" customHeight="1" x14ac:dyDescent="0.15">
      <c r="A13" s="305" t="s">
        <v>58</v>
      </c>
      <c r="B13" s="308">
        <f>G23</f>
        <v>2435.1424478752183</v>
      </c>
      <c r="C13" s="127">
        <f>B13/(1+B6+L13)</f>
        <v>370.64573027020066</v>
      </c>
      <c r="D13" s="128">
        <f t="shared" ref="D13:D15" si="0">IFERROR(C13*D6,"")</f>
        <v>122.41009005606335</v>
      </c>
      <c r="E13" s="128">
        <f t="shared" ref="E13:E15" si="1">IFERROR(C13*E6,"")</f>
        <v>385.5917836765995</v>
      </c>
      <c r="F13" s="128">
        <f t="shared" ref="F13:F15" si="2">IFERROR(C13*F6,"")</f>
        <v>322.24456207258669</v>
      </c>
      <c r="G13" s="128">
        <f t="shared" ref="G13:G15" si="3">IFERROR(C13*G6,"")</f>
        <v>818.38577243660291</v>
      </c>
      <c r="H13" s="128">
        <f t="shared" ref="H13:H15" si="4">IFERROR(C13*H6,"")</f>
        <v>61.378932932745208</v>
      </c>
      <c r="I13" s="128">
        <f t="shared" ref="I13:I15" si="5">IFERROR(C13*I6,"")</f>
        <v>143.21751017640565</v>
      </c>
      <c r="J13" s="128">
        <f>L13*C13</f>
        <v>211.26806625401437</v>
      </c>
      <c r="K13" s="129">
        <f>C13*$M$6/100</f>
        <v>1.4825829210808026</v>
      </c>
      <c r="L13" s="335">
        <v>0.56999999999999995</v>
      </c>
      <c r="M13" s="130">
        <f>(L13*100)/(1+B6)</f>
        <v>9.4999999999999982</v>
      </c>
    </row>
    <row r="14" spans="1:13" ht="15.75" customHeight="1" x14ac:dyDescent="0.15">
      <c r="A14" s="305" t="s">
        <v>121</v>
      </c>
      <c r="B14" s="308">
        <f>G28</f>
        <v>2435.1424478752183</v>
      </c>
      <c r="C14" s="127">
        <f>B14/(1+B7+L14)</f>
        <v>320.4134799835814</v>
      </c>
      <c r="D14" s="128">
        <f t="shared" si="0"/>
        <v>131.33055279828329</v>
      </c>
      <c r="E14" s="128">
        <f t="shared" si="1"/>
        <v>413.69124131459239</v>
      </c>
      <c r="F14" s="128">
        <f t="shared" si="2"/>
        <v>345.72768024148075</v>
      </c>
      <c r="G14" s="128">
        <f t="shared" si="3"/>
        <v>825.3851244377056</v>
      </c>
      <c r="H14" s="128">
        <f t="shared" si="4"/>
        <v>61.9038843328279</v>
      </c>
      <c r="I14" s="128">
        <f t="shared" si="5"/>
        <v>144.4423967765986</v>
      </c>
      <c r="J14" s="128">
        <f>L14*C14</f>
        <v>192.24808799014883</v>
      </c>
      <c r="K14" s="129">
        <f>C14*$M$6/100</f>
        <v>1.2816539199343255</v>
      </c>
      <c r="L14" s="335">
        <v>0.6</v>
      </c>
      <c r="M14" s="130">
        <f>(L14*100)/(1+B7)</f>
        <v>8.5714285714285712</v>
      </c>
    </row>
    <row r="15" spans="1:13" ht="15.75" customHeight="1" thickBot="1" x14ac:dyDescent="0.2">
      <c r="A15" s="306" t="s">
        <v>59</v>
      </c>
      <c r="B15" s="309">
        <f>G33</f>
        <v>2419.2264841636156</v>
      </c>
      <c r="C15" s="135">
        <f>B15/(1+B8+L15)</f>
        <v>278.71272859027829</v>
      </c>
      <c r="D15" s="136">
        <f t="shared" si="0"/>
        <v>136.42849375889779</v>
      </c>
      <c r="E15" s="136">
        <f t="shared" si="1"/>
        <v>429.74975534052794</v>
      </c>
      <c r="F15" s="136">
        <f t="shared" si="2"/>
        <v>359.14800982029834</v>
      </c>
      <c r="G15" s="136">
        <f t="shared" si="3"/>
        <v>820.53027296977916</v>
      </c>
      <c r="H15" s="136">
        <f t="shared" si="4"/>
        <v>61.539770472733423</v>
      </c>
      <c r="I15" s="136">
        <f t="shared" si="5"/>
        <v>143.5927977697115</v>
      </c>
      <c r="J15" s="136">
        <f>L15*C15</f>
        <v>189.52465544138926</v>
      </c>
      <c r="K15" s="137">
        <f>C15*$M$6/100</f>
        <v>1.1148509143611132</v>
      </c>
      <c r="L15" s="336">
        <v>0.68</v>
      </c>
      <c r="M15" s="138">
        <f>(L15*100)/(1+B8)</f>
        <v>8.5</v>
      </c>
    </row>
    <row r="16" spans="1:13" ht="5" customHeight="1" thickBot="1" x14ac:dyDescent="0.2"/>
    <row r="17" spans="2:7" ht="15.75" customHeight="1" x14ac:dyDescent="0.2">
      <c r="B17" s="634" t="str">
        <f>A5</f>
        <v>Rico</v>
      </c>
      <c r="C17" s="637">
        <f>B5</f>
        <v>3</v>
      </c>
      <c r="D17" s="139" t="s">
        <v>60</v>
      </c>
      <c r="E17" s="337">
        <v>1.9</v>
      </c>
      <c r="F17" s="140" t="s">
        <v>61</v>
      </c>
      <c r="G17" s="141" t="s">
        <v>53</v>
      </c>
    </row>
    <row r="18" spans="2:7" ht="15.75" customHeight="1" thickBot="1" x14ac:dyDescent="0.2">
      <c r="B18" s="635"/>
      <c r="C18" s="638"/>
      <c r="D18" s="142" t="s">
        <v>63</v>
      </c>
      <c r="E18" s="338">
        <v>5.5</v>
      </c>
      <c r="F18" s="143">
        <f>((E18-E17)*4)/(3.1415*100*20/1000000)</f>
        <v>2291.8987744707938</v>
      </c>
      <c r="G18" s="642">
        <f>(F18+F20)/2</f>
        <v>2419.2264841636152</v>
      </c>
    </row>
    <row r="19" spans="2:7" ht="15.75" customHeight="1" x14ac:dyDescent="0.15">
      <c r="B19" s="635"/>
      <c r="C19" s="638"/>
      <c r="D19" s="144" t="s">
        <v>60</v>
      </c>
      <c r="E19" s="337">
        <v>2.1</v>
      </c>
      <c r="F19" s="145" t="s">
        <v>64</v>
      </c>
      <c r="G19" s="643"/>
    </row>
    <row r="20" spans="2:7" ht="15.75" customHeight="1" thickBot="1" x14ac:dyDescent="0.2">
      <c r="B20" s="636"/>
      <c r="C20" s="639"/>
      <c r="D20" s="146" t="s">
        <v>63</v>
      </c>
      <c r="E20" s="338">
        <v>6.1</v>
      </c>
      <c r="F20" s="143">
        <f>((E20-E19)*4)/(3.1415*100*20/1000000)</f>
        <v>2546.554193856437</v>
      </c>
      <c r="G20" s="644"/>
    </row>
    <row r="21" spans="2:7" ht="5" customHeight="1" thickBot="1" x14ac:dyDescent="0.2">
      <c r="B21" s="147"/>
      <c r="E21" s="148"/>
    </row>
    <row r="22" spans="2:7" ht="15.75" customHeight="1" x14ac:dyDescent="0.2">
      <c r="B22" s="634" t="str">
        <f>A6</f>
        <v>Interm</v>
      </c>
      <c r="C22" s="637">
        <f>B6</f>
        <v>5</v>
      </c>
      <c r="D22" s="139" t="s">
        <v>60</v>
      </c>
      <c r="E22" s="337">
        <v>1.9</v>
      </c>
      <c r="F22" s="140" t="s">
        <v>61</v>
      </c>
      <c r="G22" s="141" t="s">
        <v>53</v>
      </c>
    </row>
    <row r="23" spans="2:7" ht="15.75" customHeight="1" thickBot="1" x14ac:dyDescent="0.2">
      <c r="B23" s="635"/>
      <c r="C23" s="638"/>
      <c r="D23" s="142" t="s">
        <v>63</v>
      </c>
      <c r="E23" s="338">
        <v>5.7</v>
      </c>
      <c r="F23" s="143">
        <f>((E23-E22)*4)/(3.1415*100*20/1000000)</f>
        <v>2419.2264841636156</v>
      </c>
      <c r="G23" s="642">
        <f>(F23+F25)/2</f>
        <v>2435.1424478752183</v>
      </c>
    </row>
    <row r="24" spans="2:7" ht="15.75" customHeight="1" x14ac:dyDescent="0.15">
      <c r="B24" s="635"/>
      <c r="C24" s="638"/>
      <c r="D24" s="144" t="s">
        <v>60</v>
      </c>
      <c r="E24" s="337">
        <v>2.1</v>
      </c>
      <c r="F24" s="145" t="s">
        <v>64</v>
      </c>
      <c r="G24" s="643"/>
    </row>
    <row r="25" spans="2:7" ht="15.75" customHeight="1" thickBot="1" x14ac:dyDescent="0.2">
      <c r="B25" s="636"/>
      <c r="C25" s="639"/>
      <c r="D25" s="146" t="s">
        <v>63</v>
      </c>
      <c r="E25" s="338">
        <v>5.95</v>
      </c>
      <c r="F25" s="143">
        <f>((E25-E24)*4)/(3.1415*100*20/1000000)</f>
        <v>2451.058411586821</v>
      </c>
      <c r="G25" s="644"/>
    </row>
    <row r="26" spans="2:7" ht="5" customHeight="1" thickBot="1" x14ac:dyDescent="0.2">
      <c r="B26" s="147"/>
      <c r="E26" s="148"/>
    </row>
    <row r="27" spans="2:7" ht="15.75" customHeight="1" x14ac:dyDescent="0.2">
      <c r="B27" s="634" t="str">
        <f>A7</f>
        <v>Interm 2</v>
      </c>
      <c r="C27" s="637">
        <f>B7</f>
        <v>6</v>
      </c>
      <c r="D27" s="139" t="s">
        <v>60</v>
      </c>
      <c r="E27" s="337">
        <v>1.9</v>
      </c>
      <c r="F27" s="140" t="s">
        <v>61</v>
      </c>
      <c r="G27" s="141" t="s">
        <v>53</v>
      </c>
    </row>
    <row r="28" spans="2:7" ht="15.75" customHeight="1" thickBot="1" x14ac:dyDescent="0.2">
      <c r="B28" s="635"/>
      <c r="C28" s="638"/>
      <c r="D28" s="142" t="s">
        <v>63</v>
      </c>
      <c r="E28" s="338">
        <v>5.7</v>
      </c>
      <c r="F28" s="143">
        <f>((E28-E27)*4)/(3.1415*100*20/1000000)</f>
        <v>2419.2264841636156</v>
      </c>
      <c r="G28" s="642">
        <f>(F28+F30)/2</f>
        <v>2435.1424478752183</v>
      </c>
    </row>
    <row r="29" spans="2:7" ht="15.75" customHeight="1" x14ac:dyDescent="0.15">
      <c r="B29" s="635"/>
      <c r="C29" s="638"/>
      <c r="D29" s="144" t="s">
        <v>60</v>
      </c>
      <c r="E29" s="337">
        <v>2.1</v>
      </c>
      <c r="F29" s="145" t="s">
        <v>64</v>
      </c>
      <c r="G29" s="643"/>
    </row>
    <row r="30" spans="2:7" ht="15.75" customHeight="1" thickBot="1" x14ac:dyDescent="0.2">
      <c r="B30" s="636"/>
      <c r="C30" s="639"/>
      <c r="D30" s="146" t="s">
        <v>63</v>
      </c>
      <c r="E30" s="338">
        <v>5.95</v>
      </c>
      <c r="F30" s="143">
        <f>((E30-E29)*4)/(3.1415*100*20/1000000)</f>
        <v>2451.058411586821</v>
      </c>
      <c r="G30" s="644"/>
    </row>
    <row r="31" spans="2:7" ht="5" customHeight="1" thickBot="1" x14ac:dyDescent="0.2">
      <c r="B31" s="147"/>
      <c r="E31" s="148"/>
    </row>
    <row r="32" spans="2:7" ht="15.75" customHeight="1" x14ac:dyDescent="0.2">
      <c r="B32" s="634" t="str">
        <f>A8</f>
        <v>Pobre</v>
      </c>
      <c r="C32" s="637">
        <f>B8</f>
        <v>7</v>
      </c>
      <c r="D32" s="139" t="s">
        <v>60</v>
      </c>
      <c r="E32" s="337">
        <v>1.9</v>
      </c>
      <c r="F32" s="140" t="s">
        <v>61</v>
      </c>
      <c r="G32" s="141" t="s">
        <v>53</v>
      </c>
    </row>
    <row r="33" spans="2:7" ht="15.75" customHeight="1" thickBot="1" x14ac:dyDescent="0.2">
      <c r="B33" s="635"/>
      <c r="C33" s="638"/>
      <c r="D33" s="142" t="s">
        <v>63</v>
      </c>
      <c r="E33" s="338">
        <v>5.65</v>
      </c>
      <c r="F33" s="143">
        <f>((E33-E32)*4)/(3.1415*100*20/1000000)</f>
        <v>2387.3945567404103</v>
      </c>
      <c r="G33" s="642">
        <f>(F33+F35)/2</f>
        <v>2419.2264841636156</v>
      </c>
    </row>
    <row r="34" spans="2:7" ht="15.75" customHeight="1" x14ac:dyDescent="0.15">
      <c r="B34" s="635"/>
      <c r="C34" s="638"/>
      <c r="D34" s="144" t="s">
        <v>60</v>
      </c>
      <c r="E34" s="337">
        <v>2.1</v>
      </c>
      <c r="F34" s="145" t="s">
        <v>64</v>
      </c>
      <c r="G34" s="643"/>
    </row>
    <row r="35" spans="2:7" ht="15.75" customHeight="1" thickBot="1" x14ac:dyDescent="0.2">
      <c r="B35" s="636"/>
      <c r="C35" s="639"/>
      <c r="D35" s="146" t="s">
        <v>63</v>
      </c>
      <c r="E35" s="338">
        <v>5.95</v>
      </c>
      <c r="F35" s="143">
        <f>((E35-E34)*4)/(3.1415*100*20/1000000)</f>
        <v>2451.058411586821</v>
      </c>
      <c r="G35" s="644"/>
    </row>
    <row r="36" spans="2:7" ht="15.75" customHeight="1" x14ac:dyDescent="0.15"/>
    <row r="37" spans="2:7" ht="5" customHeight="1" x14ac:dyDescent="0.15"/>
    <row r="38" spans="2:7" ht="15.75" customHeight="1" x14ac:dyDescent="0.15"/>
    <row r="39" spans="2:7" ht="15.75" customHeight="1" x14ac:dyDescent="0.15"/>
    <row r="40" spans="2:7" ht="15.75" customHeight="1" x14ac:dyDescent="0.15"/>
    <row r="41" spans="2:7" ht="15.75" customHeight="1" x14ac:dyDescent="0.15"/>
    <row r="42" spans="2:7" ht="15.75" customHeight="1" x14ac:dyDescent="0.15"/>
    <row r="43" spans="2:7" ht="5" customHeight="1" x14ac:dyDescent="0.15"/>
    <row r="44" spans="2:7" ht="15" customHeight="1" x14ac:dyDescent="0.15"/>
    <row r="45" spans="2:7" ht="15" customHeight="1" x14ac:dyDescent="0.15"/>
    <row r="46" spans="2:7" ht="15" customHeight="1" x14ac:dyDescent="0.15"/>
    <row r="47" spans="2:7" ht="15" customHeight="1" x14ac:dyDescent="0.15"/>
    <row r="48" spans="2:7" ht="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</sheetData>
  <sheetProtection algorithmName="SHA-512" hashValue="G9wsxn3a9L55MvlQ9MUVVu898RU74QWsFYPyNT9I9mNJ40MWGlE0pY1pGi7wISfy8GiBXdQhvVWpmcd7pEPDWw==" saltValue="QkRX76ycSXK58BunktIQgQ==" spinCount="100000" sheet="1" objects="1" scenarios="1"/>
  <mergeCells count="33">
    <mergeCell ref="B32:B35"/>
    <mergeCell ref="C32:C35"/>
    <mergeCell ref="G33:G35"/>
    <mergeCell ref="B22:B25"/>
    <mergeCell ref="C22:C25"/>
    <mergeCell ref="G23:G25"/>
    <mergeCell ref="B27:B30"/>
    <mergeCell ref="C27:C30"/>
    <mergeCell ref="G28:G30"/>
    <mergeCell ref="M10:M11"/>
    <mergeCell ref="B17:B20"/>
    <mergeCell ref="C17:C20"/>
    <mergeCell ref="M4:M5"/>
    <mergeCell ref="G18:G20"/>
    <mergeCell ref="M6:M7"/>
    <mergeCell ref="J10:J11"/>
    <mergeCell ref="K10:K11"/>
    <mergeCell ref="K4:L5"/>
    <mergeCell ref="K6:L7"/>
    <mergeCell ref="B3:B4"/>
    <mergeCell ref="B10:B11"/>
    <mergeCell ref="A10:A11"/>
    <mergeCell ref="E10:E11"/>
    <mergeCell ref="F10:F11"/>
    <mergeCell ref="A2:I2"/>
    <mergeCell ref="L10:L11"/>
    <mergeCell ref="C3:I3"/>
    <mergeCell ref="A3:A4"/>
    <mergeCell ref="H10:H11"/>
    <mergeCell ref="I10:I11"/>
    <mergeCell ref="G10:G11"/>
    <mergeCell ref="C10:C11"/>
    <mergeCell ref="D10:D11"/>
  </mergeCells>
  <pageMargins left="0.51181102362204722" right="0.51181102362204722" top="0.78740157480314965" bottom="0.78740157480314965" header="0.31496062992125984" footer="0.31496062992125984"/>
  <pageSetup paperSize="9" scale="99" orientation="landscape" horizontalDpi="4294967293" verticalDpi="4294967293" r:id="rId1"/>
  <headerFooter>
    <oddFooter>&amp;C&amp;1#&amp;"Calibri"&amp;10&amp;KFF0000This content is Confidential.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6AFA-F4BD-4D5A-8ACA-80B89ECCC9C1}">
  <sheetPr codeName="Planilha10">
    <tabColor theme="8" tint="-0.249977111117893"/>
  </sheetPr>
  <dimension ref="A1:Q75"/>
  <sheetViews>
    <sheetView zoomScale="80" zoomScaleNormal="80" workbookViewId="0">
      <pane xSplit="3" ySplit="8" topLeftCell="D25" activePane="bottomRight" state="frozen"/>
      <selection activeCell="AD7" sqref="AD7"/>
      <selection pane="topRight" activeCell="AD7" sqref="AD7"/>
      <selection pane="bottomLeft" activeCell="AD7" sqref="AD7"/>
      <selection pane="bottomRight" activeCell="AD7" sqref="AD7"/>
    </sheetView>
  </sheetViews>
  <sheetFormatPr baseColWidth="10" defaultColWidth="9.1640625" defaultRowHeight="13" x14ac:dyDescent="0.15"/>
  <cols>
    <col min="1" max="1" width="13.6640625" style="151" customWidth="1"/>
    <col min="2" max="2" width="16.1640625" style="151" customWidth="1"/>
    <col min="3" max="3" width="9.5" style="151" customWidth="1"/>
    <col min="4" max="5" width="7.6640625" style="151" customWidth="1"/>
    <col min="6" max="7" width="8.1640625" style="151" customWidth="1"/>
    <col min="8" max="8" width="6.1640625" style="151" customWidth="1"/>
    <col min="9" max="9" width="9.83203125" style="151" customWidth="1"/>
    <col min="10" max="10" width="4" style="151" customWidth="1"/>
    <col min="11" max="11" width="8" style="151" customWidth="1"/>
    <col min="12" max="12" width="4" style="151" customWidth="1"/>
    <col min="13" max="13" width="8.83203125" style="151" bestFit="1" customWidth="1"/>
    <col min="14" max="14" width="8.5" style="151" customWidth="1"/>
    <col min="15" max="256" width="11.5" style="151" customWidth="1"/>
    <col min="257" max="16384" width="9.1640625" style="151"/>
  </cols>
  <sheetData>
    <row r="1" spans="1:17" customFormat="1" ht="35.25" customHeight="1" thickBot="1" x14ac:dyDescent="0.2"/>
    <row r="2" spans="1:17" ht="38" thickBot="1" x14ac:dyDescent="0.2">
      <c r="A2" s="659" t="s">
        <v>66</v>
      </c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0"/>
      <c r="P2" s="661"/>
    </row>
    <row r="3" spans="1:17" ht="17" thickBot="1" x14ac:dyDescent="0.25">
      <c r="A3" s="662" t="s">
        <v>67</v>
      </c>
      <c r="B3" s="663"/>
      <c r="C3" s="152"/>
      <c r="D3" s="153"/>
      <c r="E3" s="153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5"/>
    </row>
    <row r="4" spans="1:17" ht="18" customHeight="1" thickBot="1" x14ac:dyDescent="0.2">
      <c r="C4" s="156"/>
      <c r="D4" s="664" t="s">
        <v>68</v>
      </c>
      <c r="E4" s="665"/>
      <c r="F4" s="664" t="s">
        <v>69</v>
      </c>
      <c r="G4" s="666"/>
      <c r="H4" s="667" t="s">
        <v>54</v>
      </c>
      <c r="I4" s="665"/>
      <c r="J4" s="664" t="s">
        <v>10</v>
      </c>
      <c r="K4" s="666"/>
      <c r="L4" s="667" t="s">
        <v>70</v>
      </c>
      <c r="M4" s="665"/>
      <c r="N4" s="157" t="s">
        <v>71</v>
      </c>
      <c r="O4" s="158" t="s">
        <v>72</v>
      </c>
      <c r="P4" s="157" t="s">
        <v>73</v>
      </c>
      <c r="Q4" s="155"/>
    </row>
    <row r="5" spans="1:17" ht="18" customHeight="1" x14ac:dyDescent="0.25">
      <c r="A5" s="657" t="s">
        <v>74</v>
      </c>
      <c r="B5" s="658"/>
      <c r="C5" s="156"/>
      <c r="D5" s="159" t="s">
        <v>75</v>
      </c>
      <c r="E5" s="339">
        <v>57</v>
      </c>
      <c r="F5" s="160" t="s">
        <v>75</v>
      </c>
      <c r="G5" s="342">
        <v>30</v>
      </c>
      <c r="H5" s="161" t="s">
        <v>76</v>
      </c>
      <c r="I5" s="162">
        <f>'4 traços'!L12</f>
        <v>0.45</v>
      </c>
      <c r="J5" s="163" t="s">
        <v>77</v>
      </c>
      <c r="K5" s="164">
        <f>'4 traços'!B5</f>
        <v>3</v>
      </c>
      <c r="L5" s="165" t="s">
        <v>78</v>
      </c>
      <c r="M5" s="264">
        <f>'4 traços'!C12</f>
        <v>543.64640093564378</v>
      </c>
      <c r="N5" s="166">
        <f>LOG(G5)</f>
        <v>1.4771212547196624</v>
      </c>
      <c r="O5" s="167">
        <f>LOG(E5)</f>
        <v>1.7558748556724915</v>
      </c>
      <c r="P5" s="166">
        <f>1/M5</f>
        <v>1.8394309210526326E-3</v>
      </c>
      <c r="Q5" s="155"/>
    </row>
    <row r="6" spans="1:17" ht="18" customHeight="1" x14ac:dyDescent="0.25">
      <c r="A6" s="657" t="s">
        <v>79</v>
      </c>
      <c r="B6" s="658"/>
      <c r="C6" s="156"/>
      <c r="D6" s="168" t="s">
        <v>80</v>
      </c>
      <c r="E6" s="340">
        <v>36</v>
      </c>
      <c r="F6" s="169" t="s">
        <v>80</v>
      </c>
      <c r="G6" s="343">
        <v>20</v>
      </c>
      <c r="H6" s="170" t="s">
        <v>81</v>
      </c>
      <c r="I6" s="171">
        <f>'4 traços'!L13</f>
        <v>0.56999999999999995</v>
      </c>
      <c r="J6" s="172" t="s">
        <v>82</v>
      </c>
      <c r="K6" s="173">
        <f>'4 traços'!B6</f>
        <v>5</v>
      </c>
      <c r="L6" s="174" t="s">
        <v>83</v>
      </c>
      <c r="M6" s="265">
        <f>'4 traços'!C13</f>
        <v>370.64573027020066</v>
      </c>
      <c r="N6" s="175">
        <f>LOG(G6)</f>
        <v>1.3010299956639813</v>
      </c>
      <c r="O6" s="176">
        <f>LOG(E6)</f>
        <v>1.5563025007672873</v>
      </c>
      <c r="P6" s="175">
        <f>1/M6</f>
        <v>2.6979941176470592E-3</v>
      </c>
      <c r="Q6" s="155"/>
    </row>
    <row r="7" spans="1:17" ht="18" customHeight="1" x14ac:dyDescent="0.15">
      <c r="A7" s="657" t="s">
        <v>84</v>
      </c>
      <c r="B7" s="658"/>
      <c r="C7" s="156"/>
      <c r="D7" s="168" t="s">
        <v>85</v>
      </c>
      <c r="E7" s="340">
        <v>29</v>
      </c>
      <c r="F7" s="169" t="s">
        <v>85</v>
      </c>
      <c r="G7" s="343">
        <v>18</v>
      </c>
      <c r="H7" s="170" t="s">
        <v>122</v>
      </c>
      <c r="I7" s="171">
        <f>'4 traços'!L14</f>
        <v>0.6</v>
      </c>
      <c r="J7" s="172" t="s">
        <v>87</v>
      </c>
      <c r="K7" s="173">
        <f>'4 traços'!B7</f>
        <v>6</v>
      </c>
      <c r="L7" s="174" t="s">
        <v>88</v>
      </c>
      <c r="M7" s="265">
        <f>'4 traços'!C14</f>
        <v>320.4134799835814</v>
      </c>
      <c r="N7" s="175">
        <f>LOG(G7)</f>
        <v>1.255272505103306</v>
      </c>
      <c r="O7" s="176">
        <f>LOG(E7)</f>
        <v>1.4623979978989561</v>
      </c>
      <c r="P7" s="175">
        <f>1/M7</f>
        <v>3.1209673202614381E-3</v>
      </c>
      <c r="Q7" s="155"/>
    </row>
    <row r="8" spans="1:17" ht="18" customHeight="1" thickBot="1" x14ac:dyDescent="0.3">
      <c r="A8" s="657" t="s">
        <v>89</v>
      </c>
      <c r="B8" s="658"/>
      <c r="C8" s="156"/>
      <c r="D8" s="177" t="s">
        <v>123</v>
      </c>
      <c r="E8" s="341">
        <v>15</v>
      </c>
      <c r="F8" s="178" t="s">
        <v>123</v>
      </c>
      <c r="G8" s="344">
        <v>10</v>
      </c>
      <c r="H8" s="179" t="s">
        <v>86</v>
      </c>
      <c r="I8" s="180">
        <f>'4 traços'!L15</f>
        <v>0.68</v>
      </c>
      <c r="J8" s="181" t="s">
        <v>124</v>
      </c>
      <c r="K8" s="182">
        <f>'4 traços'!B8</f>
        <v>7</v>
      </c>
      <c r="L8" s="183" t="s">
        <v>125</v>
      </c>
      <c r="M8" s="266">
        <f>'4 traços'!C15</f>
        <v>278.71272859027829</v>
      </c>
      <c r="N8" s="184">
        <f>LOG(G8)</f>
        <v>1</v>
      </c>
      <c r="O8" s="185">
        <f>LOG(E8)</f>
        <v>1.1760912590556813</v>
      </c>
      <c r="P8" s="184">
        <f>1/M8</f>
        <v>3.587923684210527E-3</v>
      </c>
      <c r="Q8" s="155"/>
    </row>
    <row r="9" spans="1:17" ht="15" customHeight="1" x14ac:dyDescent="0.2">
      <c r="A9" s="217"/>
      <c r="B9" s="209"/>
      <c r="C9" s="156"/>
      <c r="D9" s="186"/>
      <c r="E9" s="187"/>
      <c r="F9" s="186"/>
      <c r="G9" s="187"/>
      <c r="H9" s="188"/>
      <c r="I9" s="189"/>
      <c r="J9" s="190"/>
      <c r="K9" s="191"/>
      <c r="L9" s="192"/>
      <c r="M9" s="187"/>
      <c r="N9" s="193"/>
      <c r="O9" s="193"/>
      <c r="P9" s="193"/>
      <c r="Q9" s="155"/>
    </row>
    <row r="10" spans="1:17" ht="15" customHeight="1" x14ac:dyDescent="0.15">
      <c r="A10" s="657" t="s">
        <v>90</v>
      </c>
      <c r="B10" s="658"/>
      <c r="C10" s="156"/>
      <c r="O10" s="155"/>
    </row>
    <row r="11" spans="1:17" ht="15" customHeight="1" x14ac:dyDescent="0.15"/>
    <row r="12" spans="1:17" ht="15" customHeight="1" x14ac:dyDescent="0.15">
      <c r="A12" s="657" t="s">
        <v>91</v>
      </c>
      <c r="B12" s="658"/>
    </row>
    <row r="13" spans="1:17" ht="15" customHeight="1" x14ac:dyDescent="0.15">
      <c r="A13" s="657" t="s">
        <v>92</v>
      </c>
      <c r="B13" s="658"/>
    </row>
    <row r="14" spans="1:17" ht="15" customHeight="1" thickBot="1" x14ac:dyDescent="0.2">
      <c r="A14" s="154"/>
      <c r="B14" s="154"/>
    </row>
    <row r="15" spans="1:17" ht="15" customHeight="1" x14ac:dyDescent="0.15">
      <c r="A15" s="194" t="s">
        <v>93</v>
      </c>
      <c r="B15" s="195">
        <f>SLOPE($O$5:$O$8,$I$5:$I$8)</f>
        <v>-2.4621368979698688</v>
      </c>
      <c r="C15" s="155"/>
    </row>
    <row r="16" spans="1:17" ht="15" customHeight="1" thickBot="1" x14ac:dyDescent="0.2">
      <c r="A16" s="196" t="s">
        <v>94</v>
      </c>
      <c r="B16" s="197">
        <f>INTERCEPT($O$5:$O$8,$I$5:$I$8)</f>
        <v>2.9033953696812786</v>
      </c>
      <c r="C16" s="155"/>
    </row>
    <row r="17" spans="1:5" ht="15" customHeight="1" thickBot="1" x14ac:dyDescent="0.2">
      <c r="A17" s="198"/>
      <c r="B17" s="198"/>
      <c r="C17" s="154"/>
    </row>
    <row r="18" spans="1:5" ht="15" customHeight="1" thickBot="1" x14ac:dyDescent="0.2">
      <c r="A18" s="199" t="s">
        <v>95</v>
      </c>
      <c r="B18" s="200" t="s">
        <v>54</v>
      </c>
      <c r="C18" s="201" t="s">
        <v>96</v>
      </c>
      <c r="D18" s="155"/>
    </row>
    <row r="19" spans="1:5" ht="15" customHeight="1" x14ac:dyDescent="0.15">
      <c r="A19" s="97">
        <f>LOG(C19)</f>
        <v>1.7558748556724915</v>
      </c>
      <c r="B19" s="202">
        <f>((A19-$B$16)/$B$15)</f>
        <v>0.46606690105451248</v>
      </c>
      <c r="C19" s="203">
        <f>E5</f>
        <v>57</v>
      </c>
      <c r="D19" s="155"/>
    </row>
    <row r="20" spans="1:5" ht="15" customHeight="1" x14ac:dyDescent="0.15">
      <c r="A20" s="99">
        <f>LOG(C20)</f>
        <v>1.667452952889954</v>
      </c>
      <c r="B20" s="204">
        <f>((A20-$B$16)/$B$15)</f>
        <v>0.50197956815902844</v>
      </c>
      <c r="C20" s="205">
        <f>(C19+C21)/2</f>
        <v>46.5</v>
      </c>
      <c r="D20" s="155"/>
    </row>
    <row r="21" spans="1:5" ht="15" customHeight="1" x14ac:dyDescent="0.15">
      <c r="A21" s="99">
        <f>LOG(C21)</f>
        <v>1.5563025007672873</v>
      </c>
      <c r="B21" s="204">
        <f>((A21-$B$16)/$B$15)</f>
        <v>0.54712346418459668</v>
      </c>
      <c r="C21" s="205">
        <f>E6</f>
        <v>36</v>
      </c>
      <c r="D21" s="155"/>
    </row>
    <row r="22" spans="1:5" ht="15" customHeight="1" x14ac:dyDescent="0.15">
      <c r="A22" s="99">
        <f t="shared" ref="A22:A23" si="0">LOG(C22)</f>
        <v>1.5118833609788744</v>
      </c>
      <c r="B22" s="204">
        <f t="shared" ref="B22:B23" si="1">((A22-$B$16)/$B$15)</f>
        <v>0.56516435371638429</v>
      </c>
      <c r="C22" s="205">
        <f>(C21+C23)/2</f>
        <v>32.5</v>
      </c>
      <c r="D22" s="155"/>
    </row>
    <row r="23" spans="1:5" ht="15" customHeight="1" x14ac:dyDescent="0.15">
      <c r="A23" s="99">
        <f t="shared" si="0"/>
        <v>1.4623979978989561</v>
      </c>
      <c r="B23" s="204">
        <f t="shared" si="1"/>
        <v>0.58526289621445626</v>
      </c>
      <c r="C23" s="205">
        <f>E7</f>
        <v>29</v>
      </c>
      <c r="D23" s="155"/>
    </row>
    <row r="24" spans="1:5" ht="15" customHeight="1" x14ac:dyDescent="0.15">
      <c r="A24" s="99">
        <f>LOG(C24)</f>
        <v>1.3424226808222062</v>
      </c>
      <c r="B24" s="204">
        <f>((A24-$B$16)/$B$15)</f>
        <v>0.63399102224825821</v>
      </c>
      <c r="C24" s="205">
        <f>(C23+C25)/2</f>
        <v>22</v>
      </c>
      <c r="D24" s="155"/>
    </row>
    <row r="25" spans="1:5" ht="15" customHeight="1" thickBot="1" x14ac:dyDescent="0.2">
      <c r="A25" s="100">
        <f>LOG(C25)</f>
        <v>1.1760912590556813</v>
      </c>
      <c r="B25" s="206">
        <f>((A25-$B$16)/$B$15)</f>
        <v>0.70154673854643468</v>
      </c>
      <c r="C25" s="207">
        <f>E8</f>
        <v>15</v>
      </c>
      <c r="D25" s="155"/>
    </row>
    <row r="26" spans="1:5" ht="15" customHeight="1" x14ac:dyDescent="0.15">
      <c r="A26" s="208"/>
      <c r="B26" s="208"/>
      <c r="C26" s="208"/>
      <c r="D26" s="209"/>
      <c r="E26" s="210"/>
    </row>
    <row r="27" spans="1:5" s="214" customFormat="1" ht="15" customHeight="1" x14ac:dyDescent="0.2">
      <c r="B27" s="215"/>
      <c r="C27" s="216"/>
      <c r="D27" s="216"/>
      <c r="E27" s="216"/>
    </row>
    <row r="28" spans="1:5" ht="15" customHeight="1" x14ac:dyDescent="0.2">
      <c r="A28" s="662" t="s">
        <v>97</v>
      </c>
      <c r="B28" s="663"/>
      <c r="C28" s="152"/>
      <c r="D28" s="152"/>
      <c r="E28" s="152"/>
    </row>
    <row r="29" spans="1:5" ht="15" customHeight="1" x14ac:dyDescent="0.15"/>
    <row r="30" spans="1:5" ht="15" customHeight="1" x14ac:dyDescent="0.15">
      <c r="A30" s="657" t="s">
        <v>98</v>
      </c>
      <c r="B30" s="658"/>
    </row>
    <row r="31" spans="1:5" ht="15" customHeight="1" x14ac:dyDescent="0.15">
      <c r="A31" s="151" t="s">
        <v>84</v>
      </c>
    </row>
    <row r="32" spans="1:5" ht="15" customHeight="1" x14ac:dyDescent="0.15">
      <c r="A32" s="151" t="s">
        <v>90</v>
      </c>
      <c r="B32" s="151" t="s">
        <v>99</v>
      </c>
    </row>
    <row r="33" spans="1:3" ht="15" customHeight="1" x14ac:dyDescent="0.15">
      <c r="A33" s="151" t="s">
        <v>91</v>
      </c>
    </row>
    <row r="34" spans="1:3" ht="15" customHeight="1" x14ac:dyDescent="0.15">
      <c r="A34" s="657" t="s">
        <v>100</v>
      </c>
      <c r="B34" s="658"/>
    </row>
    <row r="35" spans="1:3" ht="15" customHeight="1" thickBot="1" x14ac:dyDescent="0.2">
      <c r="A35" s="217"/>
      <c r="B35" s="209"/>
    </row>
    <row r="36" spans="1:3" ht="15" customHeight="1" x14ac:dyDescent="0.15">
      <c r="A36" s="194" t="s">
        <v>93</v>
      </c>
      <c r="B36" s="195">
        <f>SLOPE($K$5:$K$8,$I$5:$I$8)</f>
        <v>17.765567765567763</v>
      </c>
    </row>
    <row r="37" spans="1:3" ht="15" customHeight="1" thickBot="1" x14ac:dyDescent="0.2">
      <c r="A37" s="196" t="s">
        <v>94</v>
      </c>
      <c r="B37" s="197">
        <f>INTERCEPT($K$5:$K$8,$I$5:$I$8)</f>
        <v>-4.9652014652014653</v>
      </c>
    </row>
    <row r="38" spans="1:3" ht="15" customHeight="1" thickBot="1" x14ac:dyDescent="0.2">
      <c r="A38" s="154"/>
      <c r="B38" s="154"/>
    </row>
    <row r="39" spans="1:3" ht="15" customHeight="1" thickBot="1" x14ac:dyDescent="0.2">
      <c r="A39" s="218" t="s">
        <v>90</v>
      </c>
      <c r="B39" s="219" t="s">
        <v>99</v>
      </c>
      <c r="C39" s="155"/>
    </row>
    <row r="40" spans="1:3" ht="15" customHeight="1" x14ac:dyDescent="0.15">
      <c r="A40" s="220">
        <f t="shared" ref="A40:A46" si="2">B19</f>
        <v>0.46606690105451248</v>
      </c>
      <c r="B40" s="221">
        <f t="shared" ref="B40:B46" si="3">$B$36*A40+$B$37</f>
        <v>3.3147416487706423</v>
      </c>
      <c r="C40" s="155"/>
    </row>
    <row r="41" spans="1:3" ht="15" customHeight="1" x14ac:dyDescent="0.15">
      <c r="A41" s="222">
        <f t="shared" si="2"/>
        <v>0.50197956815902844</v>
      </c>
      <c r="B41" s="223">
        <f t="shared" si="3"/>
        <v>3.9527505698581962</v>
      </c>
      <c r="C41" s="155"/>
    </row>
    <row r="42" spans="1:3" ht="15" customHeight="1" x14ac:dyDescent="0.15">
      <c r="A42" s="222">
        <f t="shared" si="2"/>
        <v>0.54712346418459668</v>
      </c>
      <c r="B42" s="223">
        <f t="shared" si="3"/>
        <v>4.7547575139021738</v>
      </c>
      <c r="C42" s="155"/>
    </row>
    <row r="43" spans="1:3" ht="15" customHeight="1" x14ac:dyDescent="0.15">
      <c r="A43" s="222">
        <f t="shared" si="2"/>
        <v>0.56516435371638429</v>
      </c>
      <c r="B43" s="223">
        <f t="shared" si="3"/>
        <v>5.0752641594302688</v>
      </c>
      <c r="C43" s="155"/>
    </row>
    <row r="44" spans="1:3" ht="15" customHeight="1" x14ac:dyDescent="0.15">
      <c r="A44" s="222">
        <f t="shared" si="2"/>
        <v>0.58526289621445626</v>
      </c>
      <c r="B44" s="223">
        <f t="shared" si="3"/>
        <v>5.4323261781689105</v>
      </c>
      <c r="C44" s="155"/>
    </row>
    <row r="45" spans="1:3" ht="15" customHeight="1" x14ac:dyDescent="0.15">
      <c r="A45" s="222">
        <f t="shared" si="2"/>
        <v>0.63399102224825821</v>
      </c>
      <c r="B45" s="223">
        <f t="shared" si="3"/>
        <v>6.2980090033115452</v>
      </c>
      <c r="C45" s="155"/>
    </row>
    <row r="46" spans="1:3" ht="15" customHeight="1" thickBot="1" x14ac:dyDescent="0.2">
      <c r="A46" s="224">
        <f t="shared" si="2"/>
        <v>0.70154673854643468</v>
      </c>
      <c r="B46" s="143">
        <f t="shared" si="3"/>
        <v>7.4981746591582699</v>
      </c>
      <c r="C46" s="155"/>
    </row>
    <row r="47" spans="1:3" ht="15" customHeight="1" x14ac:dyDescent="0.15"/>
    <row r="48" spans="1:3" s="214" customFormat="1" ht="15" customHeight="1" x14ac:dyDescent="0.2">
      <c r="A48" s="225"/>
      <c r="B48" s="226"/>
    </row>
    <row r="49" spans="1:14" ht="15" customHeight="1" x14ac:dyDescent="0.2">
      <c r="A49" s="662" t="s">
        <v>101</v>
      </c>
      <c r="B49" s="663"/>
    </row>
    <row r="50" spans="1:14" ht="15" customHeight="1" x14ac:dyDescent="0.15"/>
    <row r="51" spans="1:14" ht="15" customHeight="1" x14ac:dyDescent="0.15">
      <c r="A51" s="657" t="s">
        <v>102</v>
      </c>
      <c r="B51" s="658"/>
    </row>
    <row r="52" spans="1:14" ht="15" customHeight="1" x14ac:dyDescent="0.15"/>
    <row r="53" spans="1:14" ht="15" customHeight="1" x14ac:dyDescent="0.15">
      <c r="A53" s="151" t="s">
        <v>84</v>
      </c>
    </row>
    <row r="54" spans="1:14" ht="15" customHeight="1" x14ac:dyDescent="0.15">
      <c r="A54" s="151" t="s">
        <v>103</v>
      </c>
      <c r="B54" s="151" t="s">
        <v>99</v>
      </c>
    </row>
    <row r="55" spans="1:14" ht="15" customHeight="1" x14ac:dyDescent="0.15">
      <c r="A55" s="151" t="s">
        <v>91</v>
      </c>
    </row>
    <row r="56" spans="1:14" ht="15" customHeight="1" x14ac:dyDescent="0.15">
      <c r="A56" s="657" t="s">
        <v>104</v>
      </c>
      <c r="B56" s="658"/>
    </row>
    <row r="57" spans="1:14" ht="15" customHeight="1" thickBot="1" x14ac:dyDescent="0.2"/>
    <row r="58" spans="1:14" ht="15" customHeight="1" x14ac:dyDescent="0.15">
      <c r="A58" s="194" t="s">
        <v>93</v>
      </c>
      <c r="B58" s="195">
        <f>SLOPE($K$5:$K$8,$P$5:$P$8)</f>
        <v>2297.97206848721</v>
      </c>
    </row>
    <row r="59" spans="1:14" ht="15" customHeight="1" thickBot="1" x14ac:dyDescent="0.2">
      <c r="A59" s="196" t="s">
        <v>94</v>
      </c>
      <c r="B59" s="197">
        <f>INTERCEPT($K$5:$K$8,$P$5:$P$8)</f>
        <v>-1.2109300351470162</v>
      </c>
    </row>
    <row r="60" spans="1:14" ht="15" customHeight="1" thickBot="1" x14ac:dyDescent="0.2">
      <c r="A60" s="154"/>
      <c r="B60" s="154"/>
    </row>
    <row r="61" spans="1:14" ht="15" customHeight="1" thickBot="1" x14ac:dyDescent="0.2">
      <c r="A61" s="218" t="s">
        <v>105</v>
      </c>
      <c r="B61" s="219" t="s">
        <v>99</v>
      </c>
      <c r="C61" s="155"/>
      <c r="N61" s="227"/>
    </row>
    <row r="62" spans="1:14" ht="15" customHeight="1" x14ac:dyDescent="0.15">
      <c r="A62" s="228">
        <f t="shared" ref="A62:A68" si="4">$B$58/(B62-$B$59)</f>
        <v>507.76375949966501</v>
      </c>
      <c r="B62" s="221">
        <f>B40</f>
        <v>3.3147416487706423</v>
      </c>
      <c r="C62" s="155"/>
      <c r="N62" s="227"/>
    </row>
    <row r="63" spans="1:14" ht="15" customHeight="1" x14ac:dyDescent="0.15">
      <c r="A63" s="229">
        <f t="shared" si="4"/>
        <v>445.02598907061764</v>
      </c>
      <c r="B63" s="223">
        <f t="shared" ref="B63:B68" si="5">B41</f>
        <v>3.9527505698581962</v>
      </c>
      <c r="C63" s="155"/>
      <c r="N63" s="227"/>
    </row>
    <row r="64" spans="1:14" ht="15" customHeight="1" x14ac:dyDescent="0.15">
      <c r="A64" s="229">
        <f t="shared" si="4"/>
        <v>385.19819376954467</v>
      </c>
      <c r="B64" s="223">
        <f t="shared" si="5"/>
        <v>4.7547575139021738</v>
      </c>
      <c r="C64" s="155"/>
      <c r="F64" s="230"/>
      <c r="G64" s="230"/>
      <c r="N64" s="227"/>
    </row>
    <row r="65" spans="1:14" ht="15" customHeight="1" x14ac:dyDescent="0.15">
      <c r="A65" s="229">
        <f t="shared" si="4"/>
        <v>365.5585553608143</v>
      </c>
      <c r="B65" s="223">
        <f t="shared" si="5"/>
        <v>5.0752641594302688</v>
      </c>
      <c r="C65" s="155"/>
      <c r="F65" s="230"/>
      <c r="G65" s="230"/>
      <c r="N65" s="227"/>
    </row>
    <row r="66" spans="1:14" ht="15" customHeight="1" x14ac:dyDescent="0.15">
      <c r="A66" s="229">
        <f t="shared" si="4"/>
        <v>345.91049851142139</v>
      </c>
      <c r="B66" s="223">
        <f t="shared" si="5"/>
        <v>5.4323261781689105</v>
      </c>
      <c r="C66" s="155"/>
      <c r="F66" s="230"/>
      <c r="G66" s="230"/>
      <c r="N66" s="227"/>
    </row>
    <row r="67" spans="1:14" ht="15" customHeight="1" x14ac:dyDescent="0.15">
      <c r="A67" s="229">
        <f t="shared" si="4"/>
        <v>306.03152545488484</v>
      </c>
      <c r="B67" s="223">
        <f t="shared" si="5"/>
        <v>6.2980090033115452</v>
      </c>
      <c r="C67" s="155"/>
      <c r="F67" s="230"/>
      <c r="G67" s="230"/>
      <c r="N67" s="227"/>
    </row>
    <row r="68" spans="1:14" ht="15" customHeight="1" thickBot="1" x14ac:dyDescent="0.2">
      <c r="A68" s="231">
        <f t="shared" si="4"/>
        <v>263.85858812672319</v>
      </c>
      <c r="B68" s="143">
        <f t="shared" si="5"/>
        <v>7.4981746591582699</v>
      </c>
      <c r="C68" s="155"/>
      <c r="F68" s="230"/>
      <c r="G68" s="230"/>
      <c r="N68" s="227"/>
    </row>
    <row r="69" spans="1:14" ht="15" customHeight="1" x14ac:dyDescent="0.15">
      <c r="A69" s="232"/>
      <c r="B69" s="232"/>
      <c r="N69" s="227"/>
    </row>
    <row r="70" spans="1:14" s="214" customFormat="1" ht="15" customHeight="1" x14ac:dyDescent="0.15">
      <c r="A70" s="233"/>
      <c r="B70" s="233"/>
      <c r="N70" s="233"/>
    </row>
    <row r="71" spans="1:14" x14ac:dyDescent="0.15">
      <c r="A71" s="210"/>
      <c r="B71" s="227"/>
      <c r="N71" s="227"/>
    </row>
    <row r="72" spans="1:14" x14ac:dyDescent="0.15">
      <c r="A72" s="210"/>
      <c r="B72" s="227"/>
      <c r="N72" s="227"/>
    </row>
    <row r="73" spans="1:14" ht="16" x14ac:dyDescent="0.2">
      <c r="A73" s="234"/>
      <c r="B73" s="227"/>
      <c r="N73" s="227"/>
    </row>
    <row r="74" spans="1:14" x14ac:dyDescent="0.15">
      <c r="A74" s="210"/>
      <c r="B74" s="227"/>
      <c r="N74" s="227"/>
    </row>
    <row r="75" spans="1:14" x14ac:dyDescent="0.15">
      <c r="A75" s="210"/>
      <c r="B75" s="227"/>
    </row>
  </sheetData>
  <sheetProtection algorithmName="SHA-512" hashValue="6Ax9WWhRqY4uICJa07YEEvpYoY9fjvHTUxeyIZIDuEoiRT5YTdzXn6FFcp7T+N9rC9jbf5HdHg8+JzDFqz7GmQ==" saltValue="Ry3ar8T2cVzcL5VKgJLHSQ==" spinCount="100000" sheet="1" objects="1" scenarios="1"/>
  <mergeCells count="20">
    <mergeCell ref="A56:B56"/>
    <mergeCell ref="A13:B13"/>
    <mergeCell ref="A28:B28"/>
    <mergeCell ref="A30:B30"/>
    <mergeCell ref="A34:B34"/>
    <mergeCell ref="A49:B49"/>
    <mergeCell ref="A51:B51"/>
    <mergeCell ref="A12:B12"/>
    <mergeCell ref="A2:P2"/>
    <mergeCell ref="A3:B3"/>
    <mergeCell ref="D4:E4"/>
    <mergeCell ref="F4:G4"/>
    <mergeCell ref="H4:I4"/>
    <mergeCell ref="J4:K4"/>
    <mergeCell ref="L4:M4"/>
    <mergeCell ref="A5:B5"/>
    <mergeCell ref="A6:B6"/>
    <mergeCell ref="A7:B7"/>
    <mergeCell ref="A8:B8"/>
    <mergeCell ref="A10:B10"/>
  </mergeCells>
  <pageMargins left="0.511811024" right="0.511811024" top="0.78740157499999996" bottom="0.78740157499999996" header="0.31496062000000002" footer="0.31496062000000002"/>
  <pageSetup paperSize="9" scale="53" orientation="portrait" horizontalDpi="4294967293" verticalDpi="4294967293" r:id="rId1"/>
  <headerFooter>
    <oddFooter>&amp;C&amp;1#&amp;"Calibri"&amp;10&amp;KFF0000This content is Confidential.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9003-242A-4FAB-B0C2-CDD15CFF076B}">
  <sheetPr codeName="Planilha11">
    <tabColor theme="8" tint="-0.249977111117893"/>
  </sheetPr>
  <dimension ref="A1:L25"/>
  <sheetViews>
    <sheetView topLeftCell="A13" zoomScale="80" zoomScaleNormal="80" workbookViewId="0">
      <selection activeCell="AD7" sqref="AD7"/>
    </sheetView>
  </sheetViews>
  <sheetFormatPr baseColWidth="10" defaultColWidth="8.83203125" defaultRowHeight="13" x14ac:dyDescent="0.15"/>
  <cols>
    <col min="1" max="12" width="10.6640625" customWidth="1"/>
    <col min="13" max="13" width="5.6640625" customWidth="1"/>
    <col min="14" max="14" width="20.6640625" customWidth="1"/>
    <col min="15" max="15" width="8.6640625" customWidth="1"/>
    <col min="16" max="16" width="10.6640625" customWidth="1"/>
  </cols>
  <sheetData>
    <row r="1" spans="1:12" ht="35.25" customHeight="1" thickBot="1" x14ac:dyDescent="0.2"/>
    <row r="2" spans="1:12" ht="21" thickBot="1" x14ac:dyDescent="0.2">
      <c r="A2" s="672" t="s">
        <v>106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4"/>
    </row>
    <row r="3" spans="1:12" ht="15" thickBot="1" x14ac:dyDescent="0.2">
      <c r="A3" s="679" t="s">
        <v>96</v>
      </c>
      <c r="B3" s="681" t="s">
        <v>54</v>
      </c>
      <c r="C3" s="683" t="s">
        <v>10</v>
      </c>
      <c r="D3" s="375" t="s">
        <v>12</v>
      </c>
      <c r="E3" s="376" t="s">
        <v>16</v>
      </c>
      <c r="F3" s="381" t="s">
        <v>15</v>
      </c>
      <c r="G3" s="381" t="s">
        <v>38</v>
      </c>
      <c r="H3" s="377" t="s">
        <v>14</v>
      </c>
      <c r="I3" s="383" t="s">
        <v>13</v>
      </c>
      <c r="J3" s="383" t="s">
        <v>127</v>
      </c>
      <c r="K3" s="377" t="s">
        <v>162</v>
      </c>
      <c r="L3" s="378" t="s">
        <v>161</v>
      </c>
    </row>
    <row r="4" spans="1:12" ht="15" thickBot="1" x14ac:dyDescent="0.2">
      <c r="A4" s="702"/>
      <c r="B4" s="703"/>
      <c r="C4" s="704"/>
      <c r="D4" s="379" t="s">
        <v>160</v>
      </c>
      <c r="E4" s="374" t="s">
        <v>160</v>
      </c>
      <c r="F4" s="374" t="s">
        <v>160</v>
      </c>
      <c r="G4" s="374" t="s">
        <v>160</v>
      </c>
      <c r="H4" s="374" t="s">
        <v>160</v>
      </c>
      <c r="I4" s="374" t="s">
        <v>160</v>
      </c>
      <c r="J4" s="374" t="s">
        <v>160</v>
      </c>
      <c r="K4" s="374" t="s">
        <v>160</v>
      </c>
      <c r="L4" s="380" t="s">
        <v>160</v>
      </c>
    </row>
    <row r="5" spans="1:12" x14ac:dyDescent="0.15">
      <c r="A5" s="348">
        <v>25</v>
      </c>
      <c r="B5" s="369">
        <f>((LOG(A5)-'Curvas dosagem (4t)'!$B$16)/'Curvas dosagem (4t)'!$B$15)</f>
        <v>0.61144258966694731</v>
      </c>
      <c r="C5" s="370">
        <f>'Curvas dosagem (4t)'!$B$36*B5+'Curvas dosagem (4t)'!$B$37</f>
        <v>5.8974232962809303</v>
      </c>
      <c r="D5" s="235">
        <f>'Curvas dosagem (4t)'!$B$58/(C5-'Curvas dosagem (4t)'!$B$59)</f>
        <v>323.27769334808613</v>
      </c>
      <c r="E5" s="236">
        <f>IFERROR(INDEX(Empacotamento!$U$7:$Z$7,1,MATCH(E$3,Empacotamento!$U$2:$Z$2,0))*(('4 traços'!$M$4/100*(1+$C5))-1)*$D5,"")</f>
        <v>129.86438289953884</v>
      </c>
      <c r="F5" s="236">
        <f>IFERROR(INDEX(Empacotamento!$U$7:$Z$7,1,MATCH(F$3,Empacotamento!$U$2:$Z$2,0))*(('4 traços'!$M$4/100*(1+$C5))-1)*$D5,"")</f>
        <v>409.07280613354726</v>
      </c>
      <c r="G5" s="236">
        <f>IFERROR(INDEX(Empacotamento!$U$7:$Z$7,1,MATCH(G$3,Empacotamento!$U$2:$Z$2,0))*(('4 traços'!$M$4/100*(1+$C5))-1)*$D5,"")</f>
        <v>341.86798798303596</v>
      </c>
      <c r="H5" s="236">
        <f>IFERROR(INDEX(Empacotamento!$U$7:$Z$7,1,MATCH(H$3,Empacotamento!$U$2:$Z$2,0))*(($C5*$D5)-SUM($E5:$G5)),"")</f>
        <v>820.56017832227508</v>
      </c>
      <c r="I5" s="236">
        <f>IFERROR(INDEX(Empacotamento!$U$7:$Z$7,1,MATCH(I$3,Empacotamento!$U$2:$Z$2,0))*(($C5*$D5)-SUM($E5:$G5)),"")</f>
        <v>61.542013374170622</v>
      </c>
      <c r="J5" s="236">
        <f>IFERROR(INDEX(Empacotamento!$U$7:$Z$7,1,MATCH(J$3,Empacotamento!$U$2:$Z$2,0))*(($C5*$D5)-SUM($E5:$G5)),"")</f>
        <v>143.59803120639828</v>
      </c>
      <c r="K5" s="237">
        <f t="shared" ref="K5:K10" si="0">D5*$E$13/100</f>
        <v>1.2931107733923446</v>
      </c>
      <c r="L5" s="238">
        <f t="shared" ref="L5:L10" si="1">B5*D5</f>
        <v>197.66575000231106</v>
      </c>
    </row>
    <row r="6" spans="1:12" x14ac:dyDescent="0.15">
      <c r="A6" s="349">
        <v>30</v>
      </c>
      <c r="B6" s="229">
        <f>((LOG(A6)-'Curvas dosagem (4t)'!$B$16)/'Curvas dosagem (4t)'!$B$15)</f>
        <v>0.57928302692577205</v>
      </c>
      <c r="C6" s="223">
        <f>'Curvas dosagem (4t)'!$B$36*B6+'Curvas dosagem (4t)'!$B$37</f>
        <v>5.3260904050915538</v>
      </c>
      <c r="D6" s="239">
        <f>'Curvas dosagem (4t)'!$B$58/(C6-'Curvas dosagem (4t)'!$B$59)</f>
        <v>351.53203045565891</v>
      </c>
      <c r="E6" s="240">
        <f>IFERROR(INDEX(Empacotamento!$U$7:$Z$7,1,MATCH(E$3,Empacotamento!$U$2:$Z$2,0))*(('4 traços'!$M$4/100*(1+$C6))-1)*$D6,"")</f>
        <v>125.22412211075634</v>
      </c>
      <c r="F6" s="240">
        <f>IFERROR(INDEX(Empacotamento!$U$7:$Z$7,1,MATCH(F$3,Empacotamento!$U$2:$Z$2,0))*(('4 traços'!$M$4/100*(1+$C6))-1)*$D6,"")</f>
        <v>394.45598464888241</v>
      </c>
      <c r="G6" s="240">
        <f>IFERROR(INDEX(Empacotamento!$U$7:$Z$7,1,MATCH(G$3,Empacotamento!$U$2:$Z$2,0))*(('4 traços'!$M$4/100*(1+$C6))-1)*$D6,"")</f>
        <v>329.65250145656603</v>
      </c>
      <c r="H6" s="240">
        <f>IFERROR(INDEX(Empacotamento!$U$7:$Z$7,1,MATCH(H$3,Empacotamento!$U$2:$Z$2,0))*(($C6*$D6)-SUM($E6:$G6)),"")</f>
        <v>818.36701302082554</v>
      </c>
      <c r="I6" s="240">
        <f>IFERROR(INDEX(Empacotamento!$U$7:$Z$7,1,MATCH(I$3,Empacotamento!$U$2:$Z$2,0))*(($C6*$D6)-SUM($E6:$G6)),"")</f>
        <v>61.377525976561905</v>
      </c>
      <c r="J6" s="240">
        <f>IFERROR(INDEX(Empacotamento!$U$7:$Z$7,1,MATCH(J$3,Empacotamento!$U$2:$Z$2,0))*(($C6*$D6)-SUM($E6:$G6)),"")</f>
        <v>143.21422727864461</v>
      </c>
      <c r="K6" s="227">
        <f t="shared" si="0"/>
        <v>1.4061281218226358</v>
      </c>
      <c r="L6" s="241">
        <f t="shared" si="1"/>
        <v>203.63653866371678</v>
      </c>
    </row>
    <row r="7" spans="1:12" x14ac:dyDescent="0.15">
      <c r="A7" s="349">
        <v>35</v>
      </c>
      <c r="B7" s="229">
        <f>((LOG(A7)-'Curvas dosagem (4t)'!$B$16)/'Curvas dosagem (4t)'!$B$15)</f>
        <v>0.5520925040568716</v>
      </c>
      <c r="C7" s="223">
        <f>'Curvas dosagem (4t)'!$B$36*B7+'Curvas dosagem (4t)'!$B$37</f>
        <v>4.8430353284828822</v>
      </c>
      <c r="D7" s="239">
        <f>'Curvas dosagem (4t)'!$B$58/(C7-'Curvas dosagem (4t)'!$B$59)</f>
        <v>379.58130422955844</v>
      </c>
      <c r="E7" s="240">
        <f>IFERROR(INDEX(Empacotamento!$U$7:$Z$7,1,MATCH(E$3,Empacotamento!$U$2:$Z$2,0))*(('4 traços'!$M$4/100*(1+$C7))-1)*$D7,"")</f>
        <v>120.61753924344976</v>
      </c>
      <c r="F7" s="240">
        <f>IFERROR(INDEX(Empacotamento!$U$7:$Z$7,1,MATCH(F$3,Empacotamento!$U$2:$Z$2,0))*(('4 traços'!$M$4/100*(1+$C7))-1)*$D7,"")</f>
        <v>379.94524861686676</v>
      </c>
      <c r="G7" s="240">
        <f>IFERROR(INDEX(Empacotamento!$U$7:$Z$7,1,MATCH(G$3,Empacotamento!$U$2:$Z$2,0))*(('4 traços'!$M$4/100*(1+$C7))-1)*$D7,"")</f>
        <v>317.52567205838147</v>
      </c>
      <c r="H7" s="240">
        <f>IFERROR(INDEX(Empacotamento!$U$7:$Z$7,1,MATCH(H$3,Empacotamento!$U$2:$Z$2,0))*(($C7*$D7)-SUM($E7:$G7)),"")</f>
        <v>816.18976519732996</v>
      </c>
      <c r="I7" s="240">
        <f>IFERROR(INDEX(Empacotamento!$U$7:$Z$7,1,MATCH(I$3,Empacotamento!$U$2:$Z$2,0))*(($C7*$D7)-SUM($E7:$G7)),"")</f>
        <v>61.21423238979974</v>
      </c>
      <c r="J7" s="240">
        <f>IFERROR(INDEX(Empacotamento!$U$7:$Z$7,1,MATCH(J$3,Empacotamento!$U$2:$Z$2,0))*(($C7*$D7)-SUM($E7:$G7)),"")</f>
        <v>142.83320890953289</v>
      </c>
      <c r="K7" s="227">
        <f t="shared" si="0"/>
        <v>1.518325216918234</v>
      </c>
      <c r="L7" s="241">
        <f t="shared" si="1"/>
        <v>209.5639927452701</v>
      </c>
    </row>
    <row r="8" spans="1:12" x14ac:dyDescent="0.15">
      <c r="A8" s="349">
        <v>40</v>
      </c>
      <c r="B8" s="229">
        <f>((LOG(A8)-'Curvas dosagem (4t)'!$B$16)/'Curvas dosagem (4t)'!$B$15)</f>
        <v>0.5285390018021825</v>
      </c>
      <c r="C8" s="223">
        <f>'Curvas dosagem (4t)'!$B$36*B8+'Curvas dosagem (4t)'!$B$37</f>
        <v>4.4245939880607494</v>
      </c>
      <c r="D8" s="239">
        <f>'Curvas dosagem (4t)'!$B$58/(C8-'Curvas dosagem (4t)'!$B$59)</f>
        <v>407.76546404981764</v>
      </c>
      <c r="E8" s="240">
        <f>IFERROR(INDEX(Empacotamento!$U$7:$Z$7,1,MATCH(E$3,Empacotamento!$U$2:$Z$2,0))*(('4 traços'!$M$4/100*(1+$C8))-1)*$D8,"")</f>
        <v>115.98880379724902</v>
      </c>
      <c r="F8" s="240">
        <f>IFERROR(INDEX(Empacotamento!$U$7:$Z$7,1,MATCH(F$3,Empacotamento!$U$2:$Z$2,0))*(('4 traços'!$M$4/100*(1+$C8))-1)*$D8,"")</f>
        <v>365.36473196133437</v>
      </c>
      <c r="G8" s="240">
        <f>IFERROR(INDEX(Empacotamento!$U$7:$Z$7,1,MATCH(G$3,Empacotamento!$U$2:$Z$2,0))*(('4 traços'!$M$4/100*(1+$C8))-1)*$D8,"")</f>
        <v>305.34052599625801</v>
      </c>
      <c r="H8" s="240">
        <f>IFERROR(INDEX(Empacotamento!$U$7:$Z$7,1,MATCH(H$3,Empacotamento!$U$2:$Z$2,0))*(($C8*$D8)-SUM($E8:$G8)),"")</f>
        <v>814.00204721502666</v>
      </c>
      <c r="I8" s="240">
        <f>IFERROR(INDEX(Empacotamento!$U$7:$Z$7,1,MATCH(I$3,Empacotamento!$U$2:$Z$2,0))*(($C8*$D8)-SUM($E8:$G8)),"")</f>
        <v>61.050153541126988</v>
      </c>
      <c r="J8" s="240">
        <f>IFERROR(INDEX(Empacotamento!$U$7:$Z$7,1,MATCH(J$3,Empacotamento!$U$2:$Z$2,0))*(($C8*$D8)-SUM($E8:$G8)),"")</f>
        <v>142.45035826262981</v>
      </c>
      <c r="K8" s="227">
        <f t="shared" si="0"/>
        <v>1.6310618561992707</v>
      </c>
      <c r="L8" s="241">
        <f t="shared" si="1"/>
        <v>215.51995133829433</v>
      </c>
    </row>
    <row r="9" spans="1:12" x14ac:dyDescent="0.15">
      <c r="A9" s="349">
        <v>45</v>
      </c>
      <c r="B9" s="229">
        <f>((LOG(A9)-'Curvas dosagem (4t)'!$B$16)/'Curvas dosagem (4t)'!$B$15)</f>
        <v>0.50776334042869875</v>
      </c>
      <c r="C9" s="223">
        <f>'Curvas dosagem (4t)'!$B$36*B9+'Curvas dosagem (4t)'!$B$37</f>
        <v>4.0555025680556351</v>
      </c>
      <c r="D9" s="239">
        <f>'Curvas dosagem (4t)'!$B$58/(C9-'Curvas dosagem (4t)'!$B$59)</f>
        <v>436.3432026244397</v>
      </c>
      <c r="E9" s="240">
        <f>IFERROR(INDEX(Empacotamento!$U$7:$Z$7,1,MATCH(E$3,Empacotamento!$U$2:$Z$2,0))*(('4 traços'!$M$4/100*(1+$C9))-1)*$D9,"")</f>
        <v>111.2954302017187</v>
      </c>
      <c r="F9" s="240">
        <f>IFERROR(INDEX(Empacotamento!$U$7:$Z$7,1,MATCH(F$3,Empacotamento!$U$2:$Z$2,0))*(('4 traços'!$M$4/100*(1+$C9))-1)*$D9,"")</f>
        <v>350.58060513541386</v>
      </c>
      <c r="G9" s="240">
        <f>IFERROR(INDEX(Empacotamento!$U$7:$Z$7,1,MATCH(G$3,Empacotamento!$U$2:$Z$2,0))*(('4 traços'!$M$4/100*(1+$C9))-1)*$D9,"")</f>
        <v>292.98522000602441</v>
      </c>
      <c r="H9" s="240">
        <f>IFERROR(INDEX(Empacotamento!$U$7:$Z$7,1,MATCH(H$3,Empacotamento!$U$2:$Z$2,0))*(($C9*$D9)-SUM($E9:$G9)),"")</f>
        <v>811.78377876310287</v>
      </c>
      <c r="I9" s="240">
        <f>IFERROR(INDEX(Empacotamento!$U$7:$Z$7,1,MATCH(I$3,Empacotamento!$U$2:$Z$2,0))*(($C9*$D9)-SUM($E9:$G9)),"")</f>
        <v>60.883783407232706</v>
      </c>
      <c r="J9" s="240">
        <f>IFERROR(INDEX(Empacotamento!$U$7:$Z$7,1,MATCH(J$3,Empacotamento!$U$2:$Z$2,0))*(($C9*$D9)-SUM($E9:$G9)),"")</f>
        <v>142.06216128354313</v>
      </c>
      <c r="K9" s="227">
        <f t="shared" si="0"/>
        <v>1.7453728104977588</v>
      </c>
      <c r="L9" s="241">
        <f t="shared" si="1"/>
        <v>221.55908213794206</v>
      </c>
    </row>
    <row r="10" spans="1:12" ht="14" thickBot="1" x14ac:dyDescent="0.2">
      <c r="A10" s="350">
        <v>50</v>
      </c>
      <c r="B10" s="231">
        <f>((LOG(A10)-'Curvas dosagem (4t)'!$B$16)/'Curvas dosagem (4t)'!$B$15)</f>
        <v>0.48917887804628457</v>
      </c>
      <c r="C10" s="143">
        <f>'Curvas dosagem (4t)'!$B$36*B10+'Curvas dosagem (4t)'!$B$37</f>
        <v>3.7253390422142107</v>
      </c>
      <c r="D10" s="242">
        <f>'Curvas dosagem (4t)'!$B$58/(C10-'Curvas dosagem (4t)'!$B$59)</f>
        <v>465.52812103096153</v>
      </c>
      <c r="E10" s="243">
        <f>IFERROR(INDEX(Empacotamento!$U$7:$Z$7,1,MATCH(E$3,Empacotamento!$U$2:$Z$2,0))*(('4 traços'!$M$4/100*(1+$C$10))-1)*$D$10,"")</f>
        <v>106.50233836629563</v>
      </c>
      <c r="F10" s="243">
        <f>IFERROR(INDEX(Empacotamento!$U$7:$Z$7,1,MATCH(F$3,Empacotamento!$U$2:$Z$2,0))*(('4 traços'!$M$4/100*(1+$C$10))-1)*$D$10,"")</f>
        <v>335.4823658538312</v>
      </c>
      <c r="G10" s="243">
        <f>IFERROR(INDEX(Empacotamento!$U$7:$Z$7,1,MATCH(G$3,Empacotamento!$U$2:$Z$2,0))*(('4 traços'!$M$4/100*(1+$C$10))-1)*$D$10,"")</f>
        <v>280.36740574927325</v>
      </c>
      <c r="H10" s="243">
        <f>IFERROR(INDEX(Empacotamento!$U$7:$Z$7,1,MATCH(H$3,Empacotamento!$U$2:$Z$2,0))*(($C10*$D10)-SUM($E10:$G10)),"")</f>
        <v>809.51837964469064</v>
      </c>
      <c r="I10" s="243">
        <f>IFERROR(INDEX(Empacotamento!$U$7:$Z$7,1,MATCH(I$3,Empacotamento!$U$2:$Z$2,0))*(($C10*$D10)-SUM($E10:$G10)),"")</f>
        <v>60.713878473351784</v>
      </c>
      <c r="J10" s="243">
        <f>IFERROR(INDEX(Empacotamento!$U$7:$Z$7,1,MATCH(J$3,Empacotamento!$U$2:$Z$2,0))*(($C10*$D10)-SUM($E10:$G10)),"")</f>
        <v>141.665716437821</v>
      </c>
      <c r="K10" s="244">
        <f t="shared" si="0"/>
        <v>1.8621124841238463</v>
      </c>
      <c r="L10" s="245">
        <f t="shared" si="1"/>
        <v>227.72652394492073</v>
      </c>
    </row>
    <row r="11" spans="1:12" ht="14" thickBot="1" x14ac:dyDescent="0.2">
      <c r="A11" s="246"/>
    </row>
    <row r="12" spans="1:12" ht="14" thickBot="1" x14ac:dyDescent="0.2">
      <c r="A12" s="675" t="s">
        <v>107</v>
      </c>
      <c r="B12" s="676"/>
      <c r="C12" s="676"/>
      <c r="D12" s="247" t="s">
        <v>108</v>
      </c>
      <c r="E12" s="248" t="s">
        <v>109</v>
      </c>
      <c r="F12" s="429"/>
      <c r="H12" s="675" t="s">
        <v>107</v>
      </c>
      <c r="I12" s="676"/>
      <c r="J12" s="676"/>
      <c r="K12" s="247" t="s">
        <v>108</v>
      </c>
      <c r="L12" s="248" t="s">
        <v>109</v>
      </c>
    </row>
    <row r="13" spans="1:12" x14ac:dyDescent="0.15">
      <c r="A13" s="677" t="s">
        <v>115</v>
      </c>
      <c r="B13" s="678"/>
      <c r="C13" s="678"/>
      <c r="D13" s="253" t="s">
        <v>116</v>
      </c>
      <c r="E13" s="345">
        <v>0.4</v>
      </c>
      <c r="F13" s="429"/>
      <c r="H13" s="668" t="s">
        <v>166</v>
      </c>
      <c r="I13" s="669"/>
      <c r="J13" s="669"/>
      <c r="K13" s="258" t="s">
        <v>118</v>
      </c>
      <c r="L13" s="346">
        <v>3.3000000000000002E-2</v>
      </c>
    </row>
    <row r="14" spans="1:12" x14ac:dyDescent="0.15">
      <c r="A14" s="668" t="s">
        <v>117</v>
      </c>
      <c r="B14" s="669"/>
      <c r="C14" s="669"/>
      <c r="D14" s="258" t="s">
        <v>118</v>
      </c>
      <c r="E14" s="346">
        <v>0.5</v>
      </c>
      <c r="F14" s="429"/>
      <c r="H14" s="668" t="s">
        <v>167</v>
      </c>
      <c r="I14" s="669"/>
      <c r="J14" s="669"/>
      <c r="K14" s="258" t="s">
        <v>118</v>
      </c>
      <c r="L14" s="346">
        <v>3.5000000000000003E-2</v>
      </c>
    </row>
    <row r="15" spans="1:12" x14ac:dyDescent="0.15">
      <c r="A15" s="668" t="s">
        <v>163</v>
      </c>
      <c r="B15" s="669"/>
      <c r="C15" s="669"/>
      <c r="D15" s="258" t="s">
        <v>118</v>
      </c>
      <c r="E15" s="346">
        <v>2.3E-2</v>
      </c>
      <c r="F15" s="429"/>
      <c r="H15" s="668" t="s">
        <v>168</v>
      </c>
      <c r="I15" s="669"/>
      <c r="J15" s="669"/>
      <c r="K15" s="258" t="s">
        <v>118</v>
      </c>
      <c r="L15" s="346">
        <v>3.7999999999999999E-2</v>
      </c>
    </row>
    <row r="16" spans="1:12" x14ac:dyDescent="0.15">
      <c r="A16" s="668" t="s">
        <v>164</v>
      </c>
      <c r="B16" s="669"/>
      <c r="C16" s="669"/>
      <c r="D16" s="258" t="s">
        <v>118</v>
      </c>
      <c r="E16" s="346">
        <v>2.5000000000000001E-2</v>
      </c>
      <c r="F16" s="429"/>
      <c r="H16" s="668" t="s">
        <v>119</v>
      </c>
      <c r="I16" s="669"/>
      <c r="J16" s="669"/>
      <c r="K16" s="258" t="s">
        <v>118</v>
      </c>
      <c r="L16" s="346">
        <v>0</v>
      </c>
    </row>
    <row r="17" spans="1:12" ht="14" thickBot="1" x14ac:dyDescent="0.2">
      <c r="A17" s="670" t="s">
        <v>165</v>
      </c>
      <c r="B17" s="671"/>
      <c r="C17" s="671"/>
      <c r="D17" s="261" t="s">
        <v>118</v>
      </c>
      <c r="E17" s="347">
        <v>2.7E-2</v>
      </c>
      <c r="F17" s="429"/>
      <c r="H17" s="670" t="s">
        <v>120</v>
      </c>
      <c r="I17" s="671"/>
      <c r="J17" s="671"/>
      <c r="K17" s="261" t="s">
        <v>118</v>
      </c>
      <c r="L17" s="347">
        <v>10</v>
      </c>
    </row>
    <row r="18" spans="1:12" ht="14" thickBot="1" x14ac:dyDescent="0.2"/>
    <row r="19" spans="1:12" ht="39" customHeight="1" thickBot="1" x14ac:dyDescent="0.25">
      <c r="A19" s="268" t="s">
        <v>96</v>
      </c>
      <c r="B19" s="251" t="s">
        <v>114</v>
      </c>
      <c r="C19" s="252" t="s">
        <v>113</v>
      </c>
      <c r="D19" s="249" t="s">
        <v>110</v>
      </c>
      <c r="E19" s="250" t="s">
        <v>154</v>
      </c>
      <c r="F19" s="250" t="s">
        <v>155</v>
      </c>
      <c r="G19" s="250" t="s">
        <v>156</v>
      </c>
      <c r="H19" s="250" t="s">
        <v>157</v>
      </c>
      <c r="I19" s="250" t="s">
        <v>158</v>
      </c>
      <c r="J19" s="250" t="s">
        <v>159</v>
      </c>
      <c r="K19" s="250" t="s">
        <v>111</v>
      </c>
      <c r="L19" s="251" t="s">
        <v>112</v>
      </c>
    </row>
    <row r="20" spans="1:12" x14ac:dyDescent="0.15">
      <c r="A20" s="269">
        <f t="shared" ref="A20:A25" si="2">A5</f>
        <v>25</v>
      </c>
      <c r="B20" s="256">
        <f t="shared" ref="B20:B25" si="3">C20/A5</f>
        <v>9.2681309032844297</v>
      </c>
      <c r="C20" s="257">
        <f>SUM(D20:L20)</f>
        <v>231.70327258211074</v>
      </c>
      <c r="D20" s="254">
        <f t="shared" ref="D20:D25" si="4">D5*$E$14</f>
        <v>161.63884667404307</v>
      </c>
      <c r="E20" s="255">
        <f>IFERROR(E5*$E$15,"")</f>
        <v>2.9868808066893933</v>
      </c>
      <c r="F20" s="255">
        <f>IFERROR(F5*$E$16,"")</f>
        <v>10.226820153338682</v>
      </c>
      <c r="G20" s="255">
        <f>IFERROR(G5*$E$17,"")</f>
        <v>9.2304356755419708</v>
      </c>
      <c r="H20" s="255">
        <f>IFERROR(H5*$L$13,"")</f>
        <v>27.078485884635079</v>
      </c>
      <c r="I20" s="255">
        <f>IFERROR(I5*$L$14,"")</f>
        <v>2.1539704680959719</v>
      </c>
      <c r="J20" s="255">
        <f>IFERROR(J5*$L$15,"")</f>
        <v>5.4567251858431343</v>
      </c>
      <c r="K20" s="255">
        <f t="shared" ref="K20:K25" si="5">K5*$L$17</f>
        <v>12.931107733923445</v>
      </c>
      <c r="L20" s="256">
        <f t="shared" ref="L20:L25" si="6">L5*$L$16</f>
        <v>0</v>
      </c>
    </row>
    <row r="21" spans="1:12" x14ac:dyDescent="0.15">
      <c r="A21" s="270">
        <f t="shared" si="2"/>
        <v>30</v>
      </c>
      <c r="B21" s="90">
        <f t="shared" si="3"/>
        <v>8.2021977961869315</v>
      </c>
      <c r="C21" s="260">
        <f t="shared" ref="C21:C25" si="7">SUM(D21:L21)</f>
        <v>246.06593388560796</v>
      </c>
      <c r="D21" s="259">
        <f t="shared" si="4"/>
        <v>175.76601522782946</v>
      </c>
      <c r="E21" s="89">
        <f t="shared" ref="E21:E25" si="8">IFERROR(E6*$E$15,"")</f>
        <v>2.8801548085473958</v>
      </c>
      <c r="F21" s="89">
        <f t="shared" ref="F21:F25" si="9">IFERROR(F6*$E$16,"")</f>
        <v>9.8613996162220605</v>
      </c>
      <c r="G21" s="89">
        <f t="shared" ref="G21:G25" si="10">IFERROR(G6*$E$17,"")</f>
        <v>8.9006175393272819</v>
      </c>
      <c r="H21" s="89">
        <f t="shared" ref="H21:H25" si="11">IFERROR(H6*$L$13,"")</f>
        <v>27.006111429687245</v>
      </c>
      <c r="I21" s="89">
        <f t="shared" ref="I21:I25" si="12">IFERROR(I6*$L$14,"")</f>
        <v>2.1482134091796667</v>
      </c>
      <c r="J21" s="89">
        <f t="shared" ref="J21:J25" si="13">IFERROR(J6*$L$15,"")</f>
        <v>5.442140636588495</v>
      </c>
      <c r="K21" s="89">
        <f t="shared" si="5"/>
        <v>14.061281218226359</v>
      </c>
      <c r="L21" s="90">
        <f t="shared" si="6"/>
        <v>0</v>
      </c>
    </row>
    <row r="22" spans="1:12" x14ac:dyDescent="0.15">
      <c r="A22" s="270">
        <f t="shared" si="2"/>
        <v>35</v>
      </c>
      <c r="B22" s="90">
        <f t="shared" si="3"/>
        <v>7.4378386963221716</v>
      </c>
      <c r="C22" s="260">
        <f t="shared" si="7"/>
        <v>260.324354371276</v>
      </c>
      <c r="D22" s="259">
        <f t="shared" si="4"/>
        <v>189.79065211477922</v>
      </c>
      <c r="E22" s="89">
        <f t="shared" si="8"/>
        <v>2.7742034025993445</v>
      </c>
      <c r="F22" s="89">
        <f t="shared" si="9"/>
        <v>9.4986312154216694</v>
      </c>
      <c r="G22" s="89">
        <f t="shared" si="10"/>
        <v>8.5731931455762993</v>
      </c>
      <c r="H22" s="89">
        <f t="shared" si="11"/>
        <v>26.934262251511889</v>
      </c>
      <c r="I22" s="89">
        <f t="shared" si="12"/>
        <v>2.1424981336429911</v>
      </c>
      <c r="J22" s="89">
        <f t="shared" si="13"/>
        <v>5.4276619385622498</v>
      </c>
      <c r="K22" s="89">
        <f t="shared" si="5"/>
        <v>15.183252169182339</v>
      </c>
      <c r="L22" s="90">
        <f t="shared" si="6"/>
        <v>0</v>
      </c>
    </row>
    <row r="23" spans="1:12" x14ac:dyDescent="0.15">
      <c r="A23" s="270">
        <f t="shared" si="2"/>
        <v>40</v>
      </c>
      <c r="B23" s="90">
        <f t="shared" si="3"/>
        <v>6.866283553029648</v>
      </c>
      <c r="C23" s="260">
        <f t="shared" si="7"/>
        <v>274.65134212118591</v>
      </c>
      <c r="D23" s="259">
        <f t="shared" si="4"/>
        <v>203.88273202490882</v>
      </c>
      <c r="E23" s="89">
        <f t="shared" si="8"/>
        <v>2.6677424873367275</v>
      </c>
      <c r="F23" s="89">
        <f t="shared" si="9"/>
        <v>9.1341182990333589</v>
      </c>
      <c r="G23" s="89">
        <f t="shared" si="10"/>
        <v>8.2441942018989653</v>
      </c>
      <c r="H23" s="89">
        <f t="shared" si="11"/>
        <v>26.86206755809588</v>
      </c>
      <c r="I23" s="89">
        <f t="shared" si="12"/>
        <v>2.1367553739394447</v>
      </c>
      <c r="J23" s="89">
        <f t="shared" si="13"/>
        <v>5.4131136139799327</v>
      </c>
      <c r="K23" s="89">
        <f t="shared" si="5"/>
        <v>16.310618561992708</v>
      </c>
      <c r="L23" s="90">
        <f t="shared" si="6"/>
        <v>0</v>
      </c>
    </row>
    <row r="24" spans="1:12" x14ac:dyDescent="0.15">
      <c r="A24" s="270">
        <f t="shared" si="2"/>
        <v>45</v>
      </c>
      <c r="B24" s="90">
        <f t="shared" si="3"/>
        <v>6.4261866583910026</v>
      </c>
      <c r="C24" s="260">
        <f t="shared" si="7"/>
        <v>289.17839962759513</v>
      </c>
      <c r="D24" s="259">
        <f t="shared" si="4"/>
        <v>218.17160131221985</v>
      </c>
      <c r="E24" s="89">
        <f t="shared" si="8"/>
        <v>2.5597948946395301</v>
      </c>
      <c r="F24" s="89">
        <f t="shared" si="9"/>
        <v>8.7645151283853462</v>
      </c>
      <c r="G24" s="89">
        <f t="shared" si="10"/>
        <v>7.9106009401626585</v>
      </c>
      <c r="H24" s="89">
        <f t="shared" si="11"/>
        <v>26.788864699182398</v>
      </c>
      <c r="I24" s="89">
        <f t="shared" si="12"/>
        <v>2.1309324192531447</v>
      </c>
      <c r="J24" s="89">
        <f t="shared" si="13"/>
        <v>5.3983621287746386</v>
      </c>
      <c r="K24" s="89">
        <f t="shared" si="5"/>
        <v>17.453728104977589</v>
      </c>
      <c r="L24" s="90">
        <f t="shared" si="6"/>
        <v>0</v>
      </c>
    </row>
    <row r="25" spans="1:12" ht="14" thickBot="1" x14ac:dyDescent="0.2">
      <c r="A25" s="271">
        <f t="shared" si="2"/>
        <v>50</v>
      </c>
      <c r="B25" s="93">
        <f t="shared" si="3"/>
        <v>6.0802821548039887</v>
      </c>
      <c r="C25" s="263">
        <f t="shared" si="7"/>
        <v>304.01410774019945</v>
      </c>
      <c r="D25" s="262">
        <f t="shared" si="4"/>
        <v>232.76406051548076</v>
      </c>
      <c r="E25" s="92">
        <f t="shared" si="8"/>
        <v>2.4495537824247995</v>
      </c>
      <c r="F25" s="92">
        <f t="shared" si="9"/>
        <v>8.3870591463457806</v>
      </c>
      <c r="G25" s="92">
        <f t="shared" si="10"/>
        <v>7.569919955230378</v>
      </c>
      <c r="H25" s="92">
        <f t="shared" si="11"/>
        <v>26.714106528274794</v>
      </c>
      <c r="I25" s="92">
        <f t="shared" si="12"/>
        <v>2.1249857465673125</v>
      </c>
      <c r="J25" s="92">
        <f t="shared" si="13"/>
        <v>5.3832972246371984</v>
      </c>
      <c r="K25" s="92">
        <f t="shared" si="5"/>
        <v>18.621124841238462</v>
      </c>
      <c r="L25" s="93">
        <f t="shared" si="6"/>
        <v>0</v>
      </c>
    </row>
  </sheetData>
  <mergeCells count="16">
    <mergeCell ref="H16:J16"/>
    <mergeCell ref="H17:J17"/>
    <mergeCell ref="A2:L2"/>
    <mergeCell ref="A12:C12"/>
    <mergeCell ref="A13:C13"/>
    <mergeCell ref="A14:C14"/>
    <mergeCell ref="A15:C15"/>
    <mergeCell ref="H15:J15"/>
    <mergeCell ref="A3:A4"/>
    <mergeCell ref="B3:B4"/>
    <mergeCell ref="C3:C4"/>
    <mergeCell ref="A16:C16"/>
    <mergeCell ref="A17:C17"/>
    <mergeCell ref="H12:J12"/>
    <mergeCell ref="H14:J14"/>
    <mergeCell ref="H13:J13"/>
  </mergeCells>
  <pageMargins left="0.51181102362204722" right="0.51181102362204722" top="0.78740157480314965" bottom="0.78740157480314965" header="0.31496062992125984" footer="0.31496062992125984"/>
  <pageSetup paperSize="9" orientation="landscape" horizontalDpi="4294967293" verticalDpi="4294967293" r:id="rId1"/>
  <headerFooter>
    <oddFooter>&amp;C&amp;1#&amp;"Calibri"&amp;10&amp;KFF0000This content is Confidential.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10</vt:i4>
      </vt:variant>
    </vt:vector>
  </HeadingPairs>
  <TitlesOfParts>
    <vt:vector size="24" baseType="lpstr">
      <vt:lpstr>MENU</vt:lpstr>
      <vt:lpstr>1 Areia</vt:lpstr>
      <vt:lpstr>Mescla 2 Areias</vt:lpstr>
      <vt:lpstr>Mescla 3 Areias</vt:lpstr>
      <vt:lpstr>Granulometeria 1 Brita</vt:lpstr>
      <vt:lpstr>Granulometria 2 Britas</vt:lpstr>
      <vt:lpstr>Empacotamento</vt:lpstr>
      <vt:lpstr>Traços</vt:lpstr>
      <vt:lpstr>3 traços</vt:lpstr>
      <vt:lpstr>Curvas dosagem (3t)</vt:lpstr>
      <vt:lpstr>Cálculo dos traços (3t)</vt:lpstr>
      <vt:lpstr>4 traços</vt:lpstr>
      <vt:lpstr>Curvas dosagem (4t)</vt:lpstr>
      <vt:lpstr>Cálculo dos traços (4t)</vt:lpstr>
      <vt:lpstr>'3 traços'!Area_de_impressao</vt:lpstr>
      <vt:lpstr>'4 traços'!Area_de_impressao</vt:lpstr>
      <vt:lpstr>'Cálculo dos traços (3t)'!Area_de_impressao</vt:lpstr>
      <vt:lpstr>'Cálculo dos traços (4t)'!Area_de_impressao</vt:lpstr>
      <vt:lpstr>'Curvas dosagem (3t)'!Area_de_impressao</vt:lpstr>
      <vt:lpstr>'Curvas dosagem (4t)'!Area_de_impressao</vt:lpstr>
      <vt:lpstr>Empacotamento!Area_de_impressao</vt:lpstr>
      <vt:lpstr>'Mescla 2 Areias'!Area_de_impressao</vt:lpstr>
      <vt:lpstr>'Mescla 3 Areias'!Area_de_impressao</vt:lpstr>
      <vt:lpstr>Traços!Area_de_impressao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</dc:creator>
  <cp:lastModifiedBy>xx</cp:lastModifiedBy>
  <cp:lastPrinted>2021-03-16T01:54:38Z</cp:lastPrinted>
  <dcterms:created xsi:type="dcterms:W3CDTF">2001-11-26T11:35:47Z</dcterms:created>
  <dcterms:modified xsi:type="dcterms:W3CDTF">2021-08-29T03:02:52Z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2a3f2-6e24-44b0-94fe-9fa0d7e3b2b6_Enabled">
    <vt:lpwstr>true</vt:lpwstr>
  </property>
  <property fmtid="{D5CDD505-2E9C-101B-9397-08002B2CF9AE}" pid="3" name="MSIP_Label_ea82a3f2-6e24-44b0-94fe-9fa0d7e3b2b6_SetDate">
    <vt:lpwstr>2021-08-24T19:23:57Z</vt:lpwstr>
  </property>
  <property fmtid="{D5CDD505-2E9C-101B-9397-08002B2CF9AE}" pid="4" name="MSIP_Label_ea82a3f2-6e24-44b0-94fe-9fa0d7e3b2b6_Method">
    <vt:lpwstr>Privileged</vt:lpwstr>
  </property>
  <property fmtid="{D5CDD505-2E9C-101B-9397-08002B2CF9AE}" pid="5" name="MSIP_Label_ea82a3f2-6e24-44b0-94fe-9fa0d7e3b2b6_Name">
    <vt:lpwstr>ea82a3f2-6e24-44b0-94fe-9fa0d7e3b2b6</vt:lpwstr>
  </property>
  <property fmtid="{D5CDD505-2E9C-101B-9397-08002B2CF9AE}" pid="6" name="MSIP_Label_ea82a3f2-6e24-44b0-94fe-9fa0d7e3b2b6_SiteId">
    <vt:lpwstr>461fd7ef-0eb3-4420-b044-310dc2914d64</vt:lpwstr>
  </property>
  <property fmtid="{D5CDD505-2E9C-101B-9397-08002B2CF9AE}" pid="7" name="MSIP_Label_ea82a3f2-6e24-44b0-94fe-9fa0d7e3b2b6_ActionId">
    <vt:lpwstr>b378e675-ace4-4d61-9d31-f558d6efdaa3</vt:lpwstr>
  </property>
  <property fmtid="{D5CDD505-2E9C-101B-9397-08002B2CF9AE}" pid="8" name="MSIP_Label_ea82a3f2-6e24-44b0-94fe-9fa0d7e3b2b6_ContentBits">
    <vt:lpwstr>2</vt:lpwstr>
  </property>
</Properties>
</file>